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F:\Share-Folder-Work-ITS\Data\2026\Dashboard Riset\prototype_dash_riset_v1\data\"/>
    </mc:Choice>
  </mc:AlternateContent>
  <xr:revisionPtr revIDLastSave="0" documentId="13_ncr:1_{F42DA873-210C-4645-91F3-B87346E4C97E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anduan" sheetId="1" r:id="rId1"/>
    <sheet name="Collecting Data" sheetId="14" r:id="rId2"/>
    <sheet name="Fakultas" sheetId="2" r:id="rId3"/>
    <sheet name="Departemen" sheetId="3" r:id="rId4"/>
    <sheet name="Dosen" sheetId="4" r:id="rId5"/>
    <sheet name="Institusi_Mitra" sheetId="5" r:id="rId6"/>
    <sheet name="Publikasi" sheetId="6" r:id="rId7"/>
    <sheet name="Publikasi_Penulis" sheetId="7" r:id="rId8"/>
    <sheet name="Naskah_Pipeline" sheetId="8" r:id="rId9"/>
    <sheet name="Universitas_Pembanding" sheetId="9" r:id="rId10"/>
    <sheet name="Universitas_Pembanding_FWCI" sheetId="10" r:id="rId11"/>
    <sheet name="Metrik_ITS_Tahunan" sheetId="11" r:id="rId12"/>
    <sheet name="Kolaborasi_Pembanding" sheetId="12" r:id="rId13"/>
    <sheet name="Topik_Unggulan_Fakultas" sheetId="13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" i="13" l="1"/>
  <c r="A10" i="13"/>
  <c r="B9" i="13"/>
  <c r="A9" i="13"/>
  <c r="B8" i="13"/>
  <c r="A8" i="13"/>
  <c r="B7" i="13"/>
  <c r="A7" i="13"/>
  <c r="B6" i="13"/>
  <c r="A6" i="13"/>
  <c r="B5" i="13"/>
  <c r="A5" i="13"/>
  <c r="B4" i="13"/>
  <c r="A4" i="13"/>
  <c r="B3" i="13"/>
  <c r="A3" i="13"/>
  <c r="B2" i="13"/>
  <c r="A2" i="13"/>
  <c r="F11" i="12"/>
  <c r="B11" i="12"/>
  <c r="F10" i="12"/>
  <c r="B10" i="12"/>
  <c r="F9" i="12"/>
  <c r="B9" i="12"/>
  <c r="F8" i="12"/>
  <c r="B8" i="12"/>
  <c r="F7" i="12"/>
  <c r="B7" i="12"/>
  <c r="F6" i="12"/>
  <c r="B6" i="12"/>
  <c r="F5" i="12"/>
  <c r="B5" i="12"/>
  <c r="F4" i="12"/>
  <c r="B4" i="12"/>
  <c r="F3" i="12"/>
  <c r="B3" i="12"/>
  <c r="F2" i="12"/>
  <c r="B2" i="12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J14" i="8"/>
  <c r="I14" i="8"/>
  <c r="J13" i="8"/>
  <c r="I13" i="8"/>
  <c r="J12" i="8"/>
  <c r="I12" i="8"/>
  <c r="J11" i="8"/>
  <c r="I11" i="8"/>
  <c r="J10" i="8"/>
  <c r="I10" i="8"/>
  <c r="J9" i="8"/>
  <c r="I9" i="8"/>
  <c r="J8" i="8"/>
  <c r="I8" i="8"/>
  <c r="J7" i="8"/>
  <c r="I7" i="8"/>
  <c r="J6" i="8"/>
  <c r="I6" i="8"/>
  <c r="J5" i="8"/>
  <c r="I5" i="8"/>
  <c r="J4" i="8"/>
  <c r="I4" i="8"/>
  <c r="J3" i="8"/>
  <c r="I3" i="8"/>
  <c r="J2" i="8"/>
  <c r="I2" i="8"/>
  <c r="F150" i="7"/>
  <c r="E150" i="7"/>
  <c r="D150" i="7"/>
  <c r="F149" i="7"/>
  <c r="E149" i="7"/>
  <c r="D149" i="7"/>
  <c r="F148" i="7"/>
  <c r="E148" i="7"/>
  <c r="D148" i="7"/>
  <c r="F147" i="7"/>
  <c r="E147" i="7"/>
  <c r="D147" i="7"/>
  <c r="F146" i="7"/>
  <c r="E146" i="7"/>
  <c r="D146" i="7"/>
  <c r="F145" i="7"/>
  <c r="E145" i="7"/>
  <c r="D145" i="7"/>
  <c r="F144" i="7"/>
  <c r="E144" i="7"/>
  <c r="D144" i="7"/>
  <c r="F143" i="7"/>
  <c r="E143" i="7"/>
  <c r="D143" i="7"/>
  <c r="F142" i="7"/>
  <c r="E142" i="7"/>
  <c r="D142" i="7"/>
  <c r="F141" i="7"/>
  <c r="E141" i="7"/>
  <c r="D141" i="7"/>
  <c r="F140" i="7"/>
  <c r="E140" i="7"/>
  <c r="D140" i="7"/>
  <c r="F139" i="7"/>
  <c r="E139" i="7"/>
  <c r="D139" i="7"/>
  <c r="F138" i="7"/>
  <c r="E138" i="7"/>
  <c r="D138" i="7"/>
  <c r="F137" i="7"/>
  <c r="E137" i="7"/>
  <c r="D137" i="7"/>
  <c r="F136" i="7"/>
  <c r="E136" i="7"/>
  <c r="D136" i="7"/>
  <c r="F135" i="7"/>
  <c r="E135" i="7"/>
  <c r="D135" i="7"/>
  <c r="F134" i="7"/>
  <c r="E134" i="7"/>
  <c r="D134" i="7"/>
  <c r="F133" i="7"/>
  <c r="E133" i="7"/>
  <c r="D133" i="7"/>
  <c r="F132" i="7"/>
  <c r="E132" i="7"/>
  <c r="D132" i="7"/>
  <c r="F131" i="7"/>
  <c r="E131" i="7"/>
  <c r="D131" i="7"/>
  <c r="F130" i="7"/>
  <c r="E130" i="7"/>
  <c r="D130" i="7"/>
  <c r="F129" i="7"/>
  <c r="E129" i="7"/>
  <c r="D129" i="7"/>
  <c r="F128" i="7"/>
  <c r="E128" i="7"/>
  <c r="D128" i="7"/>
  <c r="F127" i="7"/>
  <c r="E127" i="7"/>
  <c r="D127" i="7"/>
  <c r="F126" i="7"/>
  <c r="E126" i="7"/>
  <c r="D126" i="7"/>
  <c r="F125" i="7"/>
  <c r="E125" i="7"/>
  <c r="D125" i="7"/>
  <c r="F124" i="7"/>
  <c r="E124" i="7"/>
  <c r="D124" i="7"/>
  <c r="F123" i="7"/>
  <c r="E123" i="7"/>
  <c r="D123" i="7"/>
  <c r="F122" i="7"/>
  <c r="E122" i="7"/>
  <c r="D122" i="7"/>
  <c r="F121" i="7"/>
  <c r="E121" i="7"/>
  <c r="D121" i="7"/>
  <c r="F120" i="7"/>
  <c r="E120" i="7"/>
  <c r="D120" i="7"/>
  <c r="F119" i="7"/>
  <c r="E119" i="7"/>
  <c r="D119" i="7"/>
  <c r="F118" i="7"/>
  <c r="E118" i="7"/>
  <c r="D118" i="7"/>
  <c r="F117" i="7"/>
  <c r="E117" i="7"/>
  <c r="D117" i="7"/>
  <c r="F116" i="7"/>
  <c r="E116" i="7"/>
  <c r="D116" i="7"/>
  <c r="F115" i="7"/>
  <c r="E115" i="7"/>
  <c r="D115" i="7"/>
  <c r="F114" i="7"/>
  <c r="E114" i="7"/>
  <c r="D114" i="7"/>
  <c r="F113" i="7"/>
  <c r="E113" i="7"/>
  <c r="D113" i="7"/>
  <c r="F112" i="7"/>
  <c r="E112" i="7"/>
  <c r="D112" i="7"/>
  <c r="F111" i="7"/>
  <c r="E111" i="7"/>
  <c r="D111" i="7"/>
  <c r="F110" i="7"/>
  <c r="E110" i="7"/>
  <c r="D110" i="7"/>
  <c r="F109" i="7"/>
  <c r="E109" i="7"/>
  <c r="D109" i="7"/>
  <c r="F108" i="7"/>
  <c r="E108" i="7"/>
  <c r="D108" i="7"/>
  <c r="F107" i="7"/>
  <c r="E107" i="7"/>
  <c r="D107" i="7"/>
  <c r="F106" i="7"/>
  <c r="E106" i="7"/>
  <c r="D106" i="7"/>
  <c r="F105" i="7"/>
  <c r="E105" i="7"/>
  <c r="D105" i="7"/>
  <c r="F104" i="7"/>
  <c r="E104" i="7"/>
  <c r="D104" i="7"/>
  <c r="F103" i="7"/>
  <c r="E103" i="7"/>
  <c r="D103" i="7"/>
  <c r="F102" i="7"/>
  <c r="E102" i="7"/>
  <c r="D102" i="7"/>
  <c r="F101" i="7"/>
  <c r="E101" i="7"/>
  <c r="D101" i="7"/>
  <c r="F100" i="7"/>
  <c r="E100" i="7"/>
  <c r="D100" i="7"/>
  <c r="F99" i="7"/>
  <c r="E99" i="7"/>
  <c r="D99" i="7"/>
  <c r="F98" i="7"/>
  <c r="E98" i="7"/>
  <c r="D98" i="7"/>
  <c r="F97" i="7"/>
  <c r="E97" i="7"/>
  <c r="D97" i="7"/>
  <c r="F96" i="7"/>
  <c r="E96" i="7"/>
  <c r="D96" i="7"/>
  <c r="F95" i="7"/>
  <c r="E95" i="7"/>
  <c r="D95" i="7"/>
  <c r="F94" i="7"/>
  <c r="E94" i="7"/>
  <c r="D94" i="7"/>
  <c r="F93" i="7"/>
  <c r="E93" i="7"/>
  <c r="D93" i="7"/>
  <c r="F92" i="7"/>
  <c r="E92" i="7"/>
  <c r="D92" i="7"/>
  <c r="F91" i="7"/>
  <c r="E91" i="7"/>
  <c r="D91" i="7"/>
  <c r="F90" i="7"/>
  <c r="E90" i="7"/>
  <c r="D90" i="7"/>
  <c r="F89" i="7"/>
  <c r="E89" i="7"/>
  <c r="D89" i="7"/>
  <c r="F88" i="7"/>
  <c r="E88" i="7"/>
  <c r="D88" i="7"/>
  <c r="F87" i="7"/>
  <c r="E87" i="7"/>
  <c r="D87" i="7"/>
  <c r="F86" i="7"/>
  <c r="E86" i="7"/>
  <c r="D86" i="7"/>
  <c r="F85" i="7"/>
  <c r="E85" i="7"/>
  <c r="D85" i="7"/>
  <c r="F84" i="7"/>
  <c r="E84" i="7"/>
  <c r="D84" i="7"/>
  <c r="F83" i="7"/>
  <c r="E83" i="7"/>
  <c r="D83" i="7"/>
  <c r="F82" i="7"/>
  <c r="E82" i="7"/>
  <c r="D82" i="7"/>
  <c r="F81" i="7"/>
  <c r="E81" i="7"/>
  <c r="D81" i="7"/>
  <c r="F80" i="7"/>
  <c r="E80" i="7"/>
  <c r="D80" i="7"/>
  <c r="F79" i="7"/>
  <c r="E79" i="7"/>
  <c r="D79" i="7"/>
  <c r="F78" i="7"/>
  <c r="E78" i="7"/>
  <c r="D78" i="7"/>
  <c r="F77" i="7"/>
  <c r="E77" i="7"/>
  <c r="D77" i="7"/>
  <c r="F76" i="7"/>
  <c r="E76" i="7"/>
  <c r="D76" i="7"/>
  <c r="F75" i="7"/>
  <c r="E75" i="7"/>
  <c r="D75" i="7"/>
  <c r="F74" i="7"/>
  <c r="E74" i="7"/>
  <c r="D74" i="7"/>
  <c r="F73" i="7"/>
  <c r="E73" i="7"/>
  <c r="D73" i="7"/>
  <c r="F72" i="7"/>
  <c r="E72" i="7"/>
  <c r="D72" i="7"/>
  <c r="F71" i="7"/>
  <c r="E71" i="7"/>
  <c r="D71" i="7"/>
  <c r="F70" i="7"/>
  <c r="E70" i="7"/>
  <c r="D70" i="7"/>
  <c r="F69" i="7"/>
  <c r="E69" i="7"/>
  <c r="D69" i="7"/>
  <c r="F68" i="7"/>
  <c r="E68" i="7"/>
  <c r="D68" i="7"/>
  <c r="F67" i="7"/>
  <c r="E67" i="7"/>
  <c r="D67" i="7"/>
  <c r="F66" i="7"/>
  <c r="E66" i="7"/>
  <c r="D66" i="7"/>
  <c r="F65" i="7"/>
  <c r="E65" i="7"/>
  <c r="D65" i="7"/>
  <c r="F64" i="7"/>
  <c r="E64" i="7"/>
  <c r="D64" i="7"/>
  <c r="F63" i="7"/>
  <c r="E63" i="7"/>
  <c r="D63" i="7"/>
  <c r="F62" i="7"/>
  <c r="E62" i="7"/>
  <c r="D62" i="7"/>
  <c r="F61" i="7"/>
  <c r="E61" i="7"/>
  <c r="D61" i="7"/>
  <c r="F60" i="7"/>
  <c r="E60" i="7"/>
  <c r="D60" i="7"/>
  <c r="F59" i="7"/>
  <c r="E59" i="7"/>
  <c r="D59" i="7"/>
  <c r="F58" i="7"/>
  <c r="E58" i="7"/>
  <c r="D58" i="7"/>
  <c r="F57" i="7"/>
  <c r="E57" i="7"/>
  <c r="D57" i="7"/>
  <c r="F56" i="7"/>
  <c r="E56" i="7"/>
  <c r="D56" i="7"/>
  <c r="F55" i="7"/>
  <c r="E55" i="7"/>
  <c r="D55" i="7"/>
  <c r="F54" i="7"/>
  <c r="E54" i="7"/>
  <c r="D54" i="7"/>
  <c r="F53" i="7"/>
  <c r="E53" i="7"/>
  <c r="D53" i="7"/>
  <c r="F52" i="7"/>
  <c r="E52" i="7"/>
  <c r="D52" i="7"/>
  <c r="F51" i="7"/>
  <c r="E51" i="7"/>
  <c r="D51" i="7"/>
  <c r="F50" i="7"/>
  <c r="E50" i="7"/>
  <c r="D50" i="7"/>
  <c r="F49" i="7"/>
  <c r="E49" i="7"/>
  <c r="D49" i="7"/>
  <c r="F48" i="7"/>
  <c r="E48" i="7"/>
  <c r="D48" i="7"/>
  <c r="F47" i="7"/>
  <c r="E47" i="7"/>
  <c r="D47" i="7"/>
  <c r="F46" i="7"/>
  <c r="E46" i="7"/>
  <c r="D46" i="7"/>
  <c r="F45" i="7"/>
  <c r="E45" i="7"/>
  <c r="D45" i="7"/>
  <c r="F44" i="7"/>
  <c r="E44" i="7"/>
  <c r="D44" i="7"/>
  <c r="F43" i="7"/>
  <c r="E43" i="7"/>
  <c r="D43" i="7"/>
  <c r="F42" i="7"/>
  <c r="E42" i="7"/>
  <c r="D42" i="7"/>
  <c r="F41" i="7"/>
  <c r="E41" i="7"/>
  <c r="D41" i="7"/>
  <c r="F40" i="7"/>
  <c r="E40" i="7"/>
  <c r="D40" i="7"/>
  <c r="F39" i="7"/>
  <c r="E39" i="7"/>
  <c r="D39" i="7"/>
  <c r="F38" i="7"/>
  <c r="E38" i="7"/>
  <c r="D38" i="7"/>
  <c r="F37" i="7"/>
  <c r="E37" i="7"/>
  <c r="D37" i="7"/>
  <c r="F36" i="7"/>
  <c r="E36" i="7"/>
  <c r="D36" i="7"/>
  <c r="F35" i="7"/>
  <c r="E35" i="7"/>
  <c r="D35" i="7"/>
  <c r="F34" i="7"/>
  <c r="E34" i="7"/>
  <c r="D34" i="7"/>
  <c r="F33" i="7"/>
  <c r="E33" i="7"/>
  <c r="D33" i="7"/>
  <c r="F32" i="7"/>
  <c r="E32" i="7"/>
  <c r="D32" i="7"/>
  <c r="F31" i="7"/>
  <c r="E31" i="7"/>
  <c r="D31" i="7"/>
  <c r="F30" i="7"/>
  <c r="E30" i="7"/>
  <c r="D30" i="7"/>
  <c r="F29" i="7"/>
  <c r="E29" i="7"/>
  <c r="D29" i="7"/>
  <c r="F28" i="7"/>
  <c r="E28" i="7"/>
  <c r="D28" i="7"/>
  <c r="F27" i="7"/>
  <c r="E27" i="7"/>
  <c r="D27" i="7"/>
  <c r="F26" i="7"/>
  <c r="E26" i="7"/>
  <c r="D26" i="7"/>
  <c r="F25" i="7"/>
  <c r="E25" i="7"/>
  <c r="D25" i="7"/>
  <c r="C25" i="7"/>
  <c r="F24" i="7"/>
  <c r="E24" i="7"/>
  <c r="D24" i="7"/>
  <c r="F23" i="7"/>
  <c r="E23" i="7"/>
  <c r="D23" i="7"/>
  <c r="F22" i="7"/>
  <c r="E22" i="7"/>
  <c r="D22" i="7"/>
  <c r="F21" i="7"/>
  <c r="E21" i="7"/>
  <c r="D21" i="7"/>
  <c r="F20" i="7"/>
  <c r="E20" i="7"/>
  <c r="D20" i="7"/>
  <c r="F19" i="7"/>
  <c r="E19" i="7"/>
  <c r="D19" i="7"/>
  <c r="F18" i="7"/>
  <c r="E18" i="7"/>
  <c r="D18" i="7"/>
  <c r="F17" i="7"/>
  <c r="E17" i="7"/>
  <c r="D17" i="7"/>
  <c r="F16" i="7"/>
  <c r="E16" i="7"/>
  <c r="D16" i="7"/>
  <c r="F15" i="7"/>
  <c r="E15" i="7"/>
  <c r="D15" i="7"/>
  <c r="F14" i="7"/>
  <c r="E14" i="7"/>
  <c r="D14" i="7"/>
  <c r="F13" i="7"/>
  <c r="E13" i="7"/>
  <c r="D13" i="7"/>
  <c r="F12" i="7"/>
  <c r="E12" i="7"/>
  <c r="D12" i="7"/>
  <c r="F11" i="7"/>
  <c r="E11" i="7"/>
  <c r="D11" i="7"/>
  <c r="F10" i="7"/>
  <c r="E10" i="7"/>
  <c r="D10" i="7"/>
  <c r="F9" i="7"/>
  <c r="E9" i="7"/>
  <c r="D9" i="7"/>
  <c r="F8" i="7"/>
  <c r="E8" i="7"/>
  <c r="D8" i="7"/>
  <c r="F7" i="7"/>
  <c r="E7" i="7"/>
  <c r="D7" i="7"/>
  <c r="F6" i="7"/>
  <c r="E6" i="7"/>
  <c r="D6" i="7"/>
  <c r="F5" i="7"/>
  <c r="E5" i="7"/>
  <c r="D5" i="7"/>
  <c r="F4" i="7"/>
  <c r="E4" i="7"/>
  <c r="D4" i="7"/>
  <c r="F3" i="7"/>
  <c r="E3" i="7"/>
  <c r="D3" i="7"/>
  <c r="F2" i="7"/>
  <c r="E2" i="7"/>
  <c r="D2" i="7"/>
  <c r="D48" i="4"/>
  <c r="C146" i="7" s="1"/>
  <c r="D47" i="4"/>
  <c r="C145" i="7" s="1"/>
  <c r="D46" i="4"/>
  <c r="C142" i="7" s="1"/>
  <c r="D44" i="4"/>
  <c r="C138" i="7" s="1"/>
  <c r="D33" i="4"/>
  <c r="C117" i="7" s="1"/>
  <c r="D32" i="4"/>
  <c r="C114" i="7" s="1"/>
  <c r="D31" i="4"/>
  <c r="C113" i="7" s="1"/>
  <c r="D30" i="4"/>
  <c r="C110" i="7" s="1"/>
  <c r="D24" i="4"/>
  <c r="C102" i="7" s="1"/>
  <c r="D22" i="4"/>
  <c r="C98" i="7" s="1"/>
  <c r="D20" i="4"/>
  <c r="C94" i="7" s="1"/>
  <c r="D18" i="4"/>
  <c r="C86" i="7" s="1"/>
  <c r="D17" i="4"/>
  <c r="C80" i="7" s="1"/>
  <c r="D16" i="4"/>
  <c r="C78" i="7" s="1"/>
  <c r="D15" i="4"/>
  <c r="C18" i="7" s="1"/>
  <c r="D14" i="4"/>
  <c r="C10" i="7" s="1"/>
  <c r="D12" i="4"/>
  <c r="C73" i="7" s="1"/>
  <c r="D8" i="4"/>
  <c r="C66" i="7" s="1"/>
  <c r="D6" i="4"/>
  <c r="C26" i="7" s="1"/>
  <c r="D4" i="4"/>
  <c r="C30" i="7" s="1"/>
  <c r="D2" i="4"/>
  <c r="C50" i="7" s="1"/>
  <c r="D13" i="3"/>
  <c r="D49" i="4" s="1"/>
  <c r="D12" i="3"/>
  <c r="D45" i="4" s="1"/>
  <c r="D11" i="3"/>
  <c r="D41" i="4" s="1"/>
  <c r="D10" i="3"/>
  <c r="D35" i="4" s="1"/>
  <c r="C120" i="7" s="1"/>
  <c r="D9" i="3"/>
  <c r="D8" i="3"/>
  <c r="D28" i="4" s="1"/>
  <c r="D7" i="3"/>
  <c r="D25" i="4" s="1"/>
  <c r="C103" i="7" s="1"/>
  <c r="D6" i="3"/>
  <c r="D19" i="4" s="1"/>
  <c r="D5" i="3"/>
  <c r="D4" i="3"/>
  <c r="D13" i="4" s="1"/>
  <c r="D3" i="3"/>
  <c r="D9" i="4" s="1"/>
  <c r="D2" i="3"/>
  <c r="D3" i="4" s="1"/>
  <c r="C141" i="7" l="1"/>
  <c r="C140" i="7"/>
  <c r="C139" i="7"/>
  <c r="C150" i="7"/>
  <c r="C149" i="7"/>
  <c r="C5" i="7"/>
  <c r="C4" i="7"/>
  <c r="C69" i="7"/>
  <c r="C68" i="7"/>
  <c r="C67" i="7"/>
  <c r="C74" i="7"/>
  <c r="C75" i="7"/>
  <c r="C14" i="7"/>
  <c r="C13" i="7"/>
  <c r="C12" i="7"/>
  <c r="C92" i="7"/>
  <c r="C15" i="7"/>
  <c r="C91" i="7"/>
  <c r="C11" i="7"/>
  <c r="C106" i="7"/>
  <c r="C107" i="7"/>
  <c r="C58" i="7"/>
  <c r="C2" i="7"/>
  <c r="C130" i="7"/>
  <c r="C129" i="7"/>
  <c r="C131" i="7"/>
  <c r="D5" i="4"/>
  <c r="D21" i="4"/>
  <c r="C96" i="7" s="1"/>
  <c r="D37" i="4"/>
  <c r="D38" i="4"/>
  <c r="C27" i="7"/>
  <c r="C43" i="7"/>
  <c r="C51" i="7"/>
  <c r="C59" i="7"/>
  <c r="C83" i="7"/>
  <c r="C87" i="7"/>
  <c r="C95" i="7"/>
  <c r="C111" i="7"/>
  <c r="C115" i="7"/>
  <c r="C143" i="7"/>
  <c r="C147" i="7"/>
  <c r="C3" i="7"/>
  <c r="C7" i="7"/>
  <c r="C31" i="7"/>
  <c r="C35" i="7"/>
  <c r="C47" i="7"/>
  <c r="C55" i="7"/>
  <c r="C63" i="7"/>
  <c r="C79" i="7"/>
  <c r="D7" i="4"/>
  <c r="D23" i="4"/>
  <c r="D39" i="4"/>
  <c r="C127" i="7" s="1"/>
  <c r="D40" i="4"/>
  <c r="D10" i="4"/>
  <c r="D42" i="4"/>
  <c r="C8" i="7"/>
  <c r="C36" i="7"/>
  <c r="C56" i="7"/>
  <c r="C60" i="7"/>
  <c r="C76" i="7"/>
  <c r="C84" i="7"/>
  <c r="C88" i="7"/>
  <c r="C100" i="7"/>
  <c r="C112" i="7"/>
  <c r="C116" i="7"/>
  <c r="C144" i="7"/>
  <c r="C148" i="7"/>
  <c r="D36" i="4"/>
  <c r="D26" i="4"/>
  <c r="C16" i="7"/>
  <c r="C28" i="7"/>
  <c r="C32" i="7"/>
  <c r="C40" i="7"/>
  <c r="C52" i="7"/>
  <c r="C64" i="7"/>
  <c r="D11" i="4"/>
  <c r="C72" i="7" s="1"/>
  <c r="D27" i="4"/>
  <c r="D43" i="4"/>
  <c r="D29" i="4"/>
  <c r="C108" i="7" s="1"/>
  <c r="C21" i="7"/>
  <c r="C29" i="7"/>
  <c r="C37" i="7"/>
  <c r="C41" i="7"/>
  <c r="C45" i="7"/>
  <c r="C49" i="7"/>
  <c r="C53" i="7"/>
  <c r="C57" i="7"/>
  <c r="C61" i="7"/>
  <c r="C77" i="7"/>
  <c r="C81" i="7"/>
  <c r="C85" i="7"/>
  <c r="C89" i="7"/>
  <c r="C93" i="7"/>
  <c r="C97" i="7"/>
  <c r="C101" i="7"/>
  <c r="C109" i="7"/>
  <c r="C137" i="7"/>
  <c r="C22" i="7"/>
  <c r="C54" i="7"/>
  <c r="C82" i="7"/>
  <c r="C90" i="7"/>
  <c r="D34" i="4"/>
  <c r="C38" i="7" l="1"/>
  <c r="C136" i="7"/>
  <c r="C135" i="7"/>
  <c r="C126" i="7"/>
  <c r="C125" i="7"/>
  <c r="C124" i="7"/>
  <c r="C48" i="7"/>
  <c r="C122" i="7"/>
  <c r="C123" i="7"/>
  <c r="F8" i="13"/>
  <c r="C4" i="13"/>
  <c r="D3" i="13"/>
  <c r="C34" i="7"/>
  <c r="C134" i="7"/>
  <c r="C42" i="7"/>
  <c r="C133" i="7"/>
  <c r="C132" i="7"/>
  <c r="C39" i="7"/>
  <c r="C9" i="7"/>
  <c r="C128" i="7"/>
  <c r="C62" i="7"/>
  <c r="C44" i="7"/>
  <c r="C33" i="7"/>
  <c r="D10" i="13" s="1"/>
  <c r="C104" i="7"/>
  <c r="C24" i="7"/>
  <c r="C20" i="7"/>
  <c r="C17" i="7"/>
  <c r="C99" i="7"/>
  <c r="C19" i="7"/>
  <c r="C46" i="7"/>
  <c r="C105" i="7"/>
  <c r="C121" i="7"/>
  <c r="C23" i="7"/>
  <c r="C118" i="7"/>
  <c r="C119" i="7"/>
  <c r="C6" i="7"/>
  <c r="F10" i="13" s="1"/>
  <c r="C65" i="7"/>
  <c r="C70" i="7"/>
  <c r="C71" i="7"/>
  <c r="G2" i="13" l="1"/>
  <c r="C6" i="13"/>
  <c r="E9" i="13"/>
  <c r="G6" i="13"/>
  <c r="G8" i="13"/>
  <c r="G4" i="13"/>
  <c r="D7" i="13"/>
  <c r="E3" i="13"/>
  <c r="E5" i="13"/>
  <c r="F3" i="13"/>
  <c r="F5" i="13"/>
  <c r="E2" i="13"/>
  <c r="D4" i="13"/>
  <c r="H4" i="13" s="1"/>
  <c r="G10" i="13"/>
  <c r="F7" i="13"/>
  <c r="E4" i="13"/>
  <c r="C8" i="13"/>
  <c r="F9" i="13"/>
  <c r="E6" i="13"/>
  <c r="D9" i="13"/>
  <c r="G3" i="13"/>
  <c r="E8" i="13"/>
  <c r="D5" i="13"/>
  <c r="D6" i="13"/>
  <c r="C3" i="13"/>
  <c r="G5" i="13"/>
  <c r="E10" i="13"/>
  <c r="D2" i="13"/>
  <c r="D8" i="13"/>
  <c r="C5" i="13"/>
  <c r="F2" i="13"/>
  <c r="G7" i="13"/>
  <c r="C7" i="13"/>
  <c r="G9" i="13"/>
  <c r="F4" i="13"/>
  <c r="E7" i="13"/>
  <c r="C9" i="13"/>
  <c r="H9" i="13" s="1"/>
  <c r="C2" i="13"/>
  <c r="F6" i="13"/>
  <c r="C10" i="13"/>
  <c r="H10" i="13" s="1"/>
  <c r="H5" i="13" l="1"/>
  <c r="H3" i="13"/>
  <c r="H2" i="13"/>
  <c r="H7" i="13"/>
  <c r="H8" i="13"/>
  <c r="H6" i="13"/>
</calcChain>
</file>

<file path=xl/sharedStrings.xml><?xml version="1.0" encoding="utf-8"?>
<sst xmlns="http://schemas.openxmlformats.org/spreadsheetml/2006/main" count="1529" uniqueCount="618">
  <si>
    <t>Data Master — Dashboard Strategis IRN &amp; FWCI ITS (data dummy)</t>
  </si>
  <si>
    <t>Workbook ini adalah realisasi dari dokumen skema data yang sudah disepakati. Seluruh isi tabel adalah DATA DUMMY untuk pengujian — bukan data ITS yang sesungguhnya.</t>
  </si>
  <si>
    <t>1. Prinsip</t>
  </si>
  <si>
    <t>Hanya dua kelompok sheet yang perlu diisi manual saat data riil tersedia: (a) tabel transaksional — Publikasi, Publikasi_Penulis, Naskah_Pipeline; (b) tabel referensi — Fakultas, Departemen, Dosen, Institusi_Mitra, Universitas_Pembanding, Universitas_Pembanding_FWCI, Metrik_ITS_Tahunan, Kolaborasi_Pembanding. Sheet 'Topik_Unggulan_Fakultas' TIDAK diisi manual — seluruhnya formula, otomatis mengikuti isi Publikasi_Penulis.</t>
  </si>
  <si>
    <t>2. Warna</t>
  </si>
  <si>
    <t>Teks BIRU = kolom yang diisi manual</t>
  </si>
  <si>
    <t>Teks ABU-ABU MIRING = kolom bantu (helper), hasil VLOOKUP — jangan diedit manual, ikut menyesuaikan otomatis</t>
  </si>
  <si>
    <t>Teks HITAM = formula perhitungan</t>
  </si>
  <si>
    <t>3. Topik/bidang unggulan fakultas</t>
  </si>
  <si>
    <t>Dihitung otomatis di sheet Topik_Unggulan_Fakultas: rata-rata FWCI dikelompokkan per bidang QS dari seluruh publikasi dosen-dosen fakultas itu (lewat Publikasi_Penulis), lalu bidang dengan rata-rata TERTINGGI menjadi topik unggulan. Bukan lagi field manual.</t>
  </si>
  <si>
    <t>4. Urutan sheet</t>
  </si>
  <si>
    <t>Fakultas -&gt; Departemen -&gt; Dosen -&gt; Institusi_Mitra -&gt; Publikasi -&gt; Publikasi_Penulis -&gt; Naskah_Pipeline -&gt; Universitas_Pembanding -&gt; Universitas_Pembanding_FWCI -&gt; Metrik_ITS_Tahunan -&gt; Kolaborasi_Pembanding -&gt; Topik_Unggulan_Fakultas (hasil).</t>
  </si>
  <si>
    <t>id</t>
  </si>
  <si>
    <t>nama_fakultas</t>
  </si>
  <si>
    <t>F01</t>
  </si>
  <si>
    <t>Faculty of Marine Technology</t>
  </si>
  <si>
    <t>F02</t>
  </si>
  <si>
    <t>Faculty of Intelligent Electrical and Informatics Technology</t>
  </si>
  <si>
    <t>F03</t>
  </si>
  <si>
    <t>Faculty of Civil, Planning, and Geo-Engineering</t>
  </si>
  <si>
    <t>F04</t>
  </si>
  <si>
    <t>Faculty of Industrial Technology and System Engineering</t>
  </si>
  <si>
    <t>F05</t>
  </si>
  <si>
    <t>Faculty of Creative Design and Digital Business</t>
  </si>
  <si>
    <t>F06</t>
  </si>
  <si>
    <t>Faculty of Medicine and Health</t>
  </si>
  <si>
    <t>F07</t>
  </si>
  <si>
    <t>Faculty of Science and Data Analytics</t>
  </si>
  <si>
    <t>F08</t>
  </si>
  <si>
    <t>Faculty of Vocation</t>
  </si>
  <si>
    <t>F09</t>
  </si>
  <si>
    <t>School of Interdisciplinary Management and Technology</t>
  </si>
  <si>
    <t>fakultas_id</t>
  </si>
  <si>
    <t>nama_departemen</t>
  </si>
  <si>
    <t>Fakultas (helper)</t>
  </si>
  <si>
    <t>D01</t>
  </si>
  <si>
    <t>Department of Marine Transportation Engineering</t>
  </si>
  <si>
    <t>D02</t>
  </si>
  <si>
    <t>Department of Marine Engineering</t>
  </si>
  <si>
    <t>D03</t>
  </si>
  <si>
    <t>Department of Information Technology</t>
  </si>
  <si>
    <t>D04</t>
  </si>
  <si>
    <t>Department of Informatics</t>
  </si>
  <si>
    <t>D05</t>
  </si>
  <si>
    <t>Department of Electrical Engineering</t>
  </si>
  <si>
    <t>D06</t>
  </si>
  <si>
    <t>Departemen contoh</t>
  </si>
  <si>
    <t>D07</t>
  </si>
  <si>
    <t>D08</t>
  </si>
  <si>
    <t>D09</t>
  </si>
  <si>
    <t>D10</t>
  </si>
  <si>
    <t>D11</t>
  </si>
  <si>
    <t>D12</t>
  </si>
  <si>
    <t>departemen_id</t>
  </si>
  <si>
    <t>nama</t>
  </si>
  <si>
    <t>DS001</t>
  </si>
  <si>
    <t>Tri Achmadi, Ir., Ph.D.</t>
  </si>
  <si>
    <t>DS002</t>
  </si>
  <si>
    <t>Dosen 01</t>
  </si>
  <si>
    <t>DS003</t>
  </si>
  <si>
    <t>Dosen 02</t>
  </si>
  <si>
    <t>DS004</t>
  </si>
  <si>
    <t>Dosen 03</t>
  </si>
  <si>
    <t>DS005</t>
  </si>
  <si>
    <t>I Gde Manik Sukanegara Adhita, S.T., M.MST., Ph.D.</t>
  </si>
  <si>
    <t>DS006</t>
  </si>
  <si>
    <t>Thariq Arafatul Akbar, S.T., M.T.</t>
  </si>
  <si>
    <t>DS007</t>
  </si>
  <si>
    <t>Erzad Iskandar Putra</t>
  </si>
  <si>
    <t>DS008</t>
  </si>
  <si>
    <t>Dosen 04</t>
  </si>
  <si>
    <t>DS009</t>
  </si>
  <si>
    <t>Gagatsatya Adiatmaja, S.T., M.Kom.</t>
  </si>
  <si>
    <t>DS010</t>
  </si>
  <si>
    <t>Dosen 05</t>
  </si>
  <si>
    <t>DS011</t>
  </si>
  <si>
    <t>Dosen 06</t>
  </si>
  <si>
    <t>DS012</t>
  </si>
  <si>
    <t>Dosen 07</t>
  </si>
  <si>
    <t>DS013</t>
  </si>
  <si>
    <t>Ilham Gurat Adillion, S.Kom., M.Kom.</t>
  </si>
  <si>
    <t>DS014</t>
  </si>
  <si>
    <t>Tohari Ahmad</t>
  </si>
  <si>
    <t>DS015</t>
  </si>
  <si>
    <t>Dosen 08</t>
  </si>
  <si>
    <t>DS016</t>
  </si>
  <si>
    <t>Dosen 09</t>
  </si>
  <si>
    <t>DS017</t>
  </si>
  <si>
    <t>Achmad Affandi, Dr., Ir., DEA</t>
  </si>
  <si>
    <t>DS018</t>
  </si>
  <si>
    <t>Dosen 10</t>
  </si>
  <si>
    <t>DS019</t>
  </si>
  <si>
    <t>Dosen 11</t>
  </si>
  <si>
    <t>DS020</t>
  </si>
  <si>
    <t>Dosen 12</t>
  </si>
  <si>
    <t>DS021</t>
  </si>
  <si>
    <t>Dosen 13</t>
  </si>
  <si>
    <t>DS022</t>
  </si>
  <si>
    <t>Dosen 14</t>
  </si>
  <si>
    <t>DS023</t>
  </si>
  <si>
    <t>Dosen 15</t>
  </si>
  <si>
    <t>DS024</t>
  </si>
  <si>
    <t>Dosen 16</t>
  </si>
  <si>
    <t>DS025</t>
  </si>
  <si>
    <t>Dosen 17</t>
  </si>
  <si>
    <t>DS026</t>
  </si>
  <si>
    <t>Dosen 18</t>
  </si>
  <si>
    <t>DS027</t>
  </si>
  <si>
    <t>Dosen 19</t>
  </si>
  <si>
    <t>DS028</t>
  </si>
  <si>
    <t>Dosen 20</t>
  </si>
  <si>
    <t>DS029</t>
  </si>
  <si>
    <t>Dosen 21</t>
  </si>
  <si>
    <t>DS030</t>
  </si>
  <si>
    <t>Dosen 22</t>
  </si>
  <si>
    <t>DS031</t>
  </si>
  <si>
    <t>Dosen 23</t>
  </si>
  <si>
    <t>DS032</t>
  </si>
  <si>
    <t>Dosen 24</t>
  </si>
  <si>
    <t>DS033</t>
  </si>
  <si>
    <t>Dosen 25</t>
  </si>
  <si>
    <t>DS034</t>
  </si>
  <si>
    <t>Dosen 26</t>
  </si>
  <si>
    <t>DS035</t>
  </si>
  <si>
    <t>Dosen 27</t>
  </si>
  <si>
    <t>DS036</t>
  </si>
  <si>
    <t>Dosen 28</t>
  </si>
  <si>
    <t>DS037</t>
  </si>
  <si>
    <t>Dosen 29</t>
  </si>
  <si>
    <t>DS038</t>
  </si>
  <si>
    <t>Dosen 30</t>
  </si>
  <si>
    <t>DS039</t>
  </si>
  <si>
    <t>Dosen 31</t>
  </si>
  <si>
    <t>DS040</t>
  </si>
  <si>
    <t>Dosen 32</t>
  </si>
  <si>
    <t>DS041</t>
  </si>
  <si>
    <t>Dosen 33</t>
  </si>
  <si>
    <t>DS042</t>
  </si>
  <si>
    <t>Dosen 34</t>
  </si>
  <si>
    <t>DS043</t>
  </si>
  <si>
    <t>Dosen 35</t>
  </si>
  <si>
    <t>DS044</t>
  </si>
  <si>
    <t>Dosen 36</t>
  </si>
  <si>
    <t>DS045</t>
  </si>
  <si>
    <t>Dosen 37</t>
  </si>
  <si>
    <t>DS046</t>
  </si>
  <si>
    <t>Dosen 38</t>
  </si>
  <si>
    <t>DS047</t>
  </si>
  <si>
    <t>Dosen 39</t>
  </si>
  <si>
    <t>DS048</t>
  </si>
  <si>
    <t>Dosen 40</t>
  </si>
  <si>
    <t>nama_institusi</t>
  </si>
  <si>
    <t>negara</t>
  </si>
  <si>
    <t>catatan</t>
  </si>
  <si>
    <t>M01</t>
  </si>
  <si>
    <t>National University of Singapore (NUS)</t>
  </si>
  <si>
    <t>Singapura</t>
  </si>
  <si>
    <t>M02</t>
  </si>
  <si>
    <t>Universiti Teknologi Malaysia (UTM)</t>
  </si>
  <si>
    <t>Malaysia</t>
  </si>
  <si>
    <t>M03</t>
  </si>
  <si>
    <t>Seoul National University</t>
  </si>
  <si>
    <t>Korea Selatan</t>
  </si>
  <si>
    <t>M04</t>
  </si>
  <si>
    <t>Kyoto University</t>
  </si>
  <si>
    <t>Jepang</t>
  </si>
  <si>
    <t>M05</t>
  </si>
  <si>
    <t>University of Queensland</t>
  </si>
  <si>
    <t>Australia</t>
  </si>
  <si>
    <t>M06</t>
  </si>
  <si>
    <t>Universitas Malaya</t>
  </si>
  <si>
    <t>M07</t>
  </si>
  <si>
    <t>TU Delft</t>
  </si>
  <si>
    <t>Belanda</t>
  </si>
  <si>
    <t>M08</t>
  </si>
  <si>
    <t>Universiti Kuala Lumpur</t>
  </si>
  <si>
    <t>M09</t>
  </si>
  <si>
    <t>University of Rwanda</t>
  </si>
  <si>
    <t>Rwanda</t>
  </si>
  <si>
    <t>M10</t>
  </si>
  <si>
    <t>KAIST</t>
  </si>
  <si>
    <t>M11</t>
  </si>
  <si>
    <t>Chulalongkorn University</t>
  </si>
  <si>
    <t>Thailand</t>
  </si>
  <si>
    <t>M12</t>
  </si>
  <si>
    <t>University of Melbourne</t>
  </si>
  <si>
    <t>M13</t>
  </si>
  <si>
    <t>IIT Delhi</t>
  </si>
  <si>
    <t>India</t>
  </si>
  <si>
    <t>M14</t>
  </si>
  <si>
    <t>Tokyo Institute of Technology</t>
  </si>
  <si>
    <t>M15</t>
  </si>
  <si>
    <t>RWTH Aachen</t>
  </si>
  <si>
    <t>Jerman</t>
  </si>
  <si>
    <t>M16</t>
  </si>
  <si>
    <t>NTU Singapore</t>
  </si>
  <si>
    <t>M17</t>
  </si>
  <si>
    <t>University of Southampton</t>
  </si>
  <si>
    <t>Inggris</t>
  </si>
  <si>
    <t>M18</t>
  </si>
  <si>
    <t>Shanghai Jiao Tong University</t>
  </si>
  <si>
    <t>Tiongkok</t>
  </si>
  <si>
    <t>M19</t>
  </si>
  <si>
    <t>KMUTT</t>
  </si>
  <si>
    <t>M20</t>
  </si>
  <si>
    <t>University of the Philippines</t>
  </si>
  <si>
    <t>Filipina</t>
  </si>
  <si>
    <t>M21</t>
  </si>
  <si>
    <t>Hanoi University of Science and Technology</t>
  </si>
  <si>
    <t>Vietnam</t>
  </si>
  <si>
    <t>M22</t>
  </si>
  <si>
    <t>Universiti Teknologi Petronas</t>
  </si>
  <si>
    <t>M23</t>
  </si>
  <si>
    <t>University of Cape Town</t>
  </si>
  <si>
    <t>Afrika Selatan</t>
  </si>
  <si>
    <t>M24</t>
  </si>
  <si>
    <t>Nanjing University</t>
  </si>
  <si>
    <t>institusi_mitra_id</t>
  </si>
  <si>
    <t>tahun_terbit</t>
  </si>
  <si>
    <t>bidang_qs</t>
  </si>
  <si>
    <t>fwci</t>
  </si>
  <si>
    <t>judul</t>
  </si>
  <si>
    <t>sumber_data</t>
  </si>
  <si>
    <t>P0001</t>
  </si>
  <si>
    <t>Natural Sciences</t>
  </si>
  <si>
    <t>Kolaborasi riset dengan National University of Singapore (NUS) (2022) (contoh)</t>
  </si>
  <si>
    <t>SciVal</t>
  </si>
  <si>
    <t>P0002</t>
  </si>
  <si>
    <t>Kolaborasi riset dengan National University of Singapore (NUS) (2023) (contoh)</t>
  </si>
  <si>
    <t>P0003</t>
  </si>
  <si>
    <t>Kolaborasi riset dengan National University of Singapore (NUS) (2024) (contoh)</t>
  </si>
  <si>
    <t>P0004</t>
  </si>
  <si>
    <t>Kolaborasi riset dengan National University of Singapore (NUS) (2025) (contoh)</t>
  </si>
  <si>
    <t>P0005</t>
  </si>
  <si>
    <t>Kolaborasi riset dengan National University of Singapore (NUS) (2026) (contoh)</t>
  </si>
  <si>
    <t>P0006</t>
  </si>
  <si>
    <t>Engineering and Technology</t>
  </si>
  <si>
    <t>Kolaborasi riset dengan Universiti Teknologi Malaysia (UTM) (2023) (contoh)</t>
  </si>
  <si>
    <t>P0007</t>
  </si>
  <si>
    <t>Kolaborasi riset dengan Universiti Teknologi Malaysia (UTM) (2024) (contoh)</t>
  </si>
  <si>
    <t>P0008</t>
  </si>
  <si>
    <t>Kolaborasi riset dengan Universiti Teknologi Malaysia (UTM) (2025) (contoh)</t>
  </si>
  <si>
    <t>P0009</t>
  </si>
  <si>
    <t>Kolaborasi riset dengan Universiti Teknologi Malaysia (UTM) (2026) (contoh)</t>
  </si>
  <si>
    <t>P0010</t>
  </si>
  <si>
    <t>Kolaborasi riset dengan Seoul National University (2022) (contoh)</t>
  </si>
  <si>
    <t>P0011</t>
  </si>
  <si>
    <t>Kolaborasi riset dengan Seoul National University (2023) (contoh)</t>
  </si>
  <si>
    <t>P0012</t>
  </si>
  <si>
    <t>Kolaborasi riset dengan Seoul National University (2024) (contoh)</t>
  </si>
  <si>
    <t>P0013</t>
  </si>
  <si>
    <t>Kolaborasi riset dengan Seoul National University (2025) (contoh)</t>
  </si>
  <si>
    <t>P0014</t>
  </si>
  <si>
    <t>Kolaborasi riset dengan Seoul National University (2026) (contoh)</t>
  </si>
  <si>
    <t>P0015</t>
  </si>
  <si>
    <t>Life Sciences and Medicine</t>
  </si>
  <si>
    <t>Kolaborasi riset dengan Kyoto University (2022) (contoh)</t>
  </si>
  <si>
    <t>P0016</t>
  </si>
  <si>
    <t>Kolaborasi riset dengan Kyoto University (2023) (contoh)</t>
  </si>
  <si>
    <t>P0017</t>
  </si>
  <si>
    <t>Kolaborasi riset dengan Kyoto University (2024) (contoh)</t>
  </si>
  <si>
    <t>P0018</t>
  </si>
  <si>
    <t>Kolaborasi riset dengan University of Queensland (2022) (contoh)</t>
  </si>
  <si>
    <t>P0019</t>
  </si>
  <si>
    <t>Kolaborasi riset dengan University of Queensland (2023) (contoh)</t>
  </si>
  <si>
    <t>P0020</t>
  </si>
  <si>
    <t>Kolaborasi riset dengan University of Queensland (2024) (contoh)</t>
  </si>
  <si>
    <t>P0021</t>
  </si>
  <si>
    <t>Social Sciences and Management</t>
  </si>
  <si>
    <t>Kolaborasi riset dengan Universitas Malaya (2022) (contoh)</t>
  </si>
  <si>
    <t>P0022</t>
  </si>
  <si>
    <t>Kolaborasi riset dengan Universitas Malaya (2023) (contoh)</t>
  </si>
  <si>
    <t>P0023</t>
  </si>
  <si>
    <t>Kolaborasi riset dengan Universitas Malaya (2024) (contoh)</t>
  </si>
  <si>
    <t>P0024</t>
  </si>
  <si>
    <t>Kolaborasi riset dengan TU Delft (2025) (contoh)</t>
  </si>
  <si>
    <t>P0025</t>
  </si>
  <si>
    <t>Kolaborasi riset dengan TU Delft (2026) (contoh)</t>
  </si>
  <si>
    <t>P0026</t>
  </si>
  <si>
    <t>Kolaborasi riset dengan Universiti Kuala Lumpur (2026) (contoh)</t>
  </si>
  <si>
    <t>P0027</t>
  </si>
  <si>
    <t>Kolaborasi riset dengan University of Rwanda (2026) (contoh)</t>
  </si>
  <si>
    <t>P0028</t>
  </si>
  <si>
    <t>Kolaborasi riset dengan KAIST (2025) (contoh)</t>
  </si>
  <si>
    <t>P0029</t>
  </si>
  <si>
    <t>Kolaborasi riset dengan KAIST (2026) (contoh)</t>
  </si>
  <si>
    <t>P0030</t>
  </si>
  <si>
    <t>Kolaborasi riset dengan University of Melbourne (2025) (contoh)</t>
  </si>
  <si>
    <t>P0031</t>
  </si>
  <si>
    <t>Kolaborasi riset dengan University of Melbourne (2026) (contoh)</t>
  </si>
  <si>
    <t>P0032</t>
  </si>
  <si>
    <t>Kolaborasi riset dengan IIT Delhi (2024) (contoh)</t>
  </si>
  <si>
    <t>P0033</t>
  </si>
  <si>
    <t>Kolaborasi riset dengan IIT Delhi (2025) (contoh)</t>
  </si>
  <si>
    <t>P0034</t>
  </si>
  <si>
    <t>Kolaborasi riset dengan RWTH Aachen (2025) (contoh)</t>
  </si>
  <si>
    <t>P0035</t>
  </si>
  <si>
    <t>Kolaborasi riset dengan University of Southampton (2022) (contoh)</t>
  </si>
  <si>
    <t>P0036</t>
  </si>
  <si>
    <t>Kolaborasi riset dengan Shanghai Jiao Tong University (2023) (contoh)</t>
  </si>
  <si>
    <t>P0037</t>
  </si>
  <si>
    <t>Arts and Humanities</t>
  </si>
  <si>
    <t>Kolaborasi riset dengan University of the Philippines (2022) (contoh)</t>
  </si>
  <si>
    <t>P0038</t>
  </si>
  <si>
    <t>Kolaborasi riset dengan Universiti Teknologi Petronas (2017) (contoh)</t>
  </si>
  <si>
    <t>P0039</t>
  </si>
  <si>
    <t>Kolaborasi riset dengan Universiti Teknologi Petronas (2018) (contoh)</t>
  </si>
  <si>
    <t>P0040</t>
  </si>
  <si>
    <t>Kolaborasi riset dengan Universiti Teknologi Petronas (2019) (contoh)</t>
  </si>
  <si>
    <t>P0041</t>
  </si>
  <si>
    <t>Kolaborasi riset dengan University of Cape Town (2015) (contoh)</t>
  </si>
  <si>
    <t>P0042</t>
  </si>
  <si>
    <t>Kolaborasi riset dengan University of Cape Town (2016) (contoh)</t>
  </si>
  <si>
    <t>P0043</t>
  </si>
  <si>
    <t>Kolaborasi riset dengan University of Cape Town (2017) (contoh)</t>
  </si>
  <si>
    <t>P0044</t>
  </si>
  <si>
    <t>Kolaborasi riset dengan University of Cape Town (2018) (contoh)</t>
  </si>
  <si>
    <t>P0045</t>
  </si>
  <si>
    <t>Kolaborasi riset dengan Nanjing University (2017) (contoh)</t>
  </si>
  <si>
    <t>P0046</t>
  </si>
  <si>
    <t>Kolaborasi riset dengan Nanjing University (2018) (contoh)</t>
  </si>
  <si>
    <t>P0047</t>
  </si>
  <si>
    <t>Kolaborasi riset dengan Nanjing University (2019) (contoh)</t>
  </si>
  <si>
    <t>P0048</t>
  </si>
  <si>
    <t>Studi domestik oleh Tri Achmadi, Ir., Ph.D. (2024) (contoh watchlist)</t>
  </si>
  <si>
    <t>Scholar API</t>
  </si>
  <si>
    <t>P0049</t>
  </si>
  <si>
    <t>Studi domestik oleh Tri Achmadi, Ir., Ph.D. (2025) (contoh watchlist)</t>
  </si>
  <si>
    <t>P0050</t>
  </si>
  <si>
    <t>P0051</t>
  </si>
  <si>
    <t>Studi domestik oleh Tri Achmadi, Ir., Ph.D. (2023) (contoh watchlist)</t>
  </si>
  <si>
    <t>P0052</t>
  </si>
  <si>
    <t>Studi domestik oleh Tri Achmadi, Ir., Ph.D. (2026) (contoh watchlist)</t>
  </si>
  <si>
    <t>P0053</t>
  </si>
  <si>
    <t>P0054</t>
  </si>
  <si>
    <t>P0055</t>
  </si>
  <si>
    <t>P0056</t>
  </si>
  <si>
    <t>P0057</t>
  </si>
  <si>
    <t>Studi domestik oleh Dosen 01 (2022) (contoh)</t>
  </si>
  <si>
    <t>P0058</t>
  </si>
  <si>
    <t>Studi domestik oleh Dosen 02 (2025) (contoh)</t>
  </si>
  <si>
    <t>P0059</t>
  </si>
  <si>
    <t>Studi domestik oleh Dosen 02 (2026) (contoh)</t>
  </si>
  <si>
    <t>P0060</t>
  </si>
  <si>
    <t>P0061</t>
  </si>
  <si>
    <t>Studi domestik oleh Dosen 03 (2026) (contoh)</t>
  </si>
  <si>
    <t>P0062</t>
  </si>
  <si>
    <t>Studi domestik oleh I Gde Manik Sukanegara Adhita, S.T., M.MST., Ph.D. (2023) (contoh)</t>
  </si>
  <si>
    <t>P0063</t>
  </si>
  <si>
    <t>Studi domestik oleh I Gde Manik Sukanegara Adhita, S.T., M.MST., Ph.D. (2024) (contoh)</t>
  </si>
  <si>
    <t>P0064</t>
  </si>
  <si>
    <t>Studi domestik oleh Thariq Arafatul Akbar, S.T., M.T. (2024) (contoh)</t>
  </si>
  <si>
    <t>P0065</t>
  </si>
  <si>
    <t>Studi domestik oleh Erzad Iskandar Putra (2024) (contoh)</t>
  </si>
  <si>
    <t>P0066</t>
  </si>
  <si>
    <t>Studi domestik oleh Dosen 04 (2022) (contoh)</t>
  </si>
  <si>
    <t>P0067</t>
  </si>
  <si>
    <t>P0068</t>
  </si>
  <si>
    <t>Studi domestik oleh Dosen 04 (2023) (contoh)</t>
  </si>
  <si>
    <t>P0069</t>
  </si>
  <si>
    <t>Studi domestik oleh Gagatsatya Adiatmaja, S.T., M.Kom. (2022) (contoh)</t>
  </si>
  <si>
    <t>P0070</t>
  </si>
  <si>
    <t>Studi domestik oleh Gagatsatya Adiatmaja, S.T., M.Kom. (2023) (contoh)</t>
  </si>
  <si>
    <t>P0071</t>
  </si>
  <si>
    <t>Studi domestik oleh Dosen 05 (2024) (contoh)</t>
  </si>
  <si>
    <t>P0072</t>
  </si>
  <si>
    <t>Studi domestik oleh Dosen 06 (2026) (contoh)</t>
  </si>
  <si>
    <t>P0073</t>
  </si>
  <si>
    <t>Studi domestik oleh Dosen 07 (2024) (contoh)</t>
  </si>
  <si>
    <t>P0074</t>
  </si>
  <si>
    <t>Studi domestik oleh Dosen 07 (2022) (contoh)</t>
  </si>
  <si>
    <t>P0075</t>
  </si>
  <si>
    <t>Studi domestik oleh Ilham Gurat Adillion, S.Kom., M.Kom. (2026) (contoh)</t>
  </si>
  <si>
    <t>P0076</t>
  </si>
  <si>
    <t>Studi domestik oleh Tohari Ahmad (2022) (contoh)</t>
  </si>
  <si>
    <t>P0077</t>
  </si>
  <si>
    <t>Studi domestik oleh Dosen 08 (2022) (contoh)</t>
  </si>
  <si>
    <t>P0078</t>
  </si>
  <si>
    <t>Studi domestik oleh Dosen 09 (2025) (contoh)</t>
  </si>
  <si>
    <t>P0079</t>
  </si>
  <si>
    <t>Studi domestik oleh Dosen 09 (2026) (contoh)</t>
  </si>
  <si>
    <t>P0080</t>
  </si>
  <si>
    <t>Studi domestik oleh Achmad Affandi, Dr., Ir., DEA (2025) (contoh watchlist)</t>
  </si>
  <si>
    <t>P0081</t>
  </si>
  <si>
    <t>Studi domestik oleh Achmad Affandi, Dr., Ir., DEA (2023) (contoh watchlist)</t>
  </si>
  <si>
    <t>P0082</t>
  </si>
  <si>
    <t>P0083</t>
  </si>
  <si>
    <t>P0084</t>
  </si>
  <si>
    <t>Studi domestik oleh Achmad Affandi, Dr., Ir., DEA (2022) (contoh watchlist)</t>
  </si>
  <si>
    <t>P0085</t>
  </si>
  <si>
    <t>P0086</t>
  </si>
  <si>
    <t>Studi domestik oleh Achmad Affandi, Dr., Ir., DEA (2024) (contoh watchlist)</t>
  </si>
  <si>
    <t>P0087</t>
  </si>
  <si>
    <t>P0088</t>
  </si>
  <si>
    <t>P0089</t>
  </si>
  <si>
    <t>P0090</t>
  </si>
  <si>
    <t>Studi domestik oleh Dosen 10 (2025) (contoh)</t>
  </si>
  <si>
    <t>P0091</t>
  </si>
  <si>
    <t>P0092</t>
  </si>
  <si>
    <t>Studi domestik oleh Dosen 11 (2026) (contoh)</t>
  </si>
  <si>
    <t>P0093</t>
  </si>
  <si>
    <t>Studi domestik oleh Dosen 11 (2023) (contoh)</t>
  </si>
  <si>
    <t>P0094</t>
  </si>
  <si>
    <t>P0095</t>
  </si>
  <si>
    <t>Studi domestik oleh Dosen 12 (2025) (contoh)</t>
  </si>
  <si>
    <t>P0096</t>
  </si>
  <si>
    <t>Studi domestik oleh Dosen 13 (2024) (contoh)</t>
  </si>
  <si>
    <t>P0097</t>
  </si>
  <si>
    <t>Studi domestik oleh Dosen 13 (2026) (contoh)</t>
  </si>
  <si>
    <t>P0098</t>
  </si>
  <si>
    <t>Studi domestik oleh Dosen 14 (2024) (contoh)</t>
  </si>
  <si>
    <t>P0099</t>
  </si>
  <si>
    <t>Studi domestik oleh Dosen 15 (2026) (contoh)</t>
  </si>
  <si>
    <t>P0100</t>
  </si>
  <si>
    <t>Studi domestik oleh Dosen 15 (2022) (contoh)</t>
  </si>
  <si>
    <t>P0101</t>
  </si>
  <si>
    <t>P0102</t>
  </si>
  <si>
    <t>Studi domestik oleh Dosen 16 (2023) (contoh)</t>
  </si>
  <si>
    <t>P0103</t>
  </si>
  <si>
    <t>Studi domestik oleh Dosen 17 (2025) (contoh)</t>
  </si>
  <si>
    <t>P0104</t>
  </si>
  <si>
    <t>Studi domestik oleh Dosen 18 (2026) (contoh)</t>
  </si>
  <si>
    <t>P0105</t>
  </si>
  <si>
    <t>Studi domestik oleh Dosen 19 (2026) (contoh)</t>
  </si>
  <si>
    <t>P0106</t>
  </si>
  <si>
    <t>Studi domestik oleh Dosen 19 (2024) (contoh)</t>
  </si>
  <si>
    <t>P0107</t>
  </si>
  <si>
    <t>Studi domestik oleh Dosen 20 (2024) (contoh)</t>
  </si>
  <si>
    <t>P0108</t>
  </si>
  <si>
    <t>Studi domestik oleh Dosen 21 (2025) (contoh)</t>
  </si>
  <si>
    <t>P0109</t>
  </si>
  <si>
    <t>Studi domestik oleh Dosen 21 (2022) (contoh)</t>
  </si>
  <si>
    <t>P0110</t>
  </si>
  <si>
    <t>Studi domestik oleh Dosen 22 (2022) (contoh)</t>
  </si>
  <si>
    <t>P0111</t>
  </si>
  <si>
    <t>Studi domestik oleh Dosen 22 (2024) (contoh)</t>
  </si>
  <si>
    <t>P0112</t>
  </si>
  <si>
    <t>P0113</t>
  </si>
  <si>
    <t>Studi domestik oleh Dosen 23 (2026) (contoh)</t>
  </si>
  <si>
    <t>P0114</t>
  </si>
  <si>
    <t>P0115</t>
  </si>
  <si>
    <t>Studi domestik oleh Dosen 24 (2022) (contoh)</t>
  </si>
  <si>
    <t>P0116</t>
  </si>
  <si>
    <t>P0117</t>
  </si>
  <si>
    <t>Studi domestik oleh Dosen 25 (2026) (contoh)</t>
  </si>
  <si>
    <t>P0118</t>
  </si>
  <si>
    <t>Studi domestik oleh Dosen 25 (2024) (contoh)</t>
  </si>
  <si>
    <t>P0119</t>
  </si>
  <si>
    <t>Studi domestik oleh Dosen 26 (2022) (contoh)</t>
  </si>
  <si>
    <t>P0120</t>
  </si>
  <si>
    <t>Studi domestik oleh Dosen 27 (2022) (contoh)</t>
  </si>
  <si>
    <t>P0121</t>
  </si>
  <si>
    <t>Studi domestik oleh Dosen 28 (2023) (contoh)</t>
  </si>
  <si>
    <t>P0122</t>
  </si>
  <si>
    <t>Studi domestik oleh Dosen 28 (2025) (contoh)</t>
  </si>
  <si>
    <t>P0123</t>
  </si>
  <si>
    <t>Studi domestik oleh Dosen 29 (2023) (contoh)</t>
  </si>
  <si>
    <t>P0124</t>
  </si>
  <si>
    <t>Studi domestik oleh Dosen 29 (2026) (contoh)</t>
  </si>
  <si>
    <t>P0125</t>
  </si>
  <si>
    <t>Studi domestik oleh Dosen 29 (2022) (contoh)</t>
  </si>
  <si>
    <t>P0126</t>
  </si>
  <si>
    <t>Studi domestik oleh Dosen 30 (2024) (contoh)</t>
  </si>
  <si>
    <t>P0127</t>
  </si>
  <si>
    <t>Studi domestik oleh Dosen 31 (2024) (contoh)</t>
  </si>
  <si>
    <t>P0128</t>
  </si>
  <si>
    <t>Studi domestik oleh Dosen 32 (2023) (contoh)</t>
  </si>
  <si>
    <t>P0129</t>
  </si>
  <si>
    <t>P0130</t>
  </si>
  <si>
    <t>Studi domestik oleh Dosen 32 (2024) (contoh)</t>
  </si>
  <si>
    <t>P0131</t>
  </si>
  <si>
    <t>Studi domestik oleh Dosen 33 (2023) (contoh)</t>
  </si>
  <si>
    <t>P0132</t>
  </si>
  <si>
    <t>Studi domestik oleh Dosen 33 (2022) (contoh)</t>
  </si>
  <si>
    <t>P0133</t>
  </si>
  <si>
    <t>Studi domestik oleh Dosen 33 (2025) (contoh)</t>
  </si>
  <si>
    <t>P0134</t>
  </si>
  <si>
    <t>Studi domestik oleh Dosen 34 (2024) (contoh)</t>
  </si>
  <si>
    <t>P0135</t>
  </si>
  <si>
    <t>Studi domestik oleh Dosen 34 (2023) (contoh)</t>
  </si>
  <si>
    <t>P0136</t>
  </si>
  <si>
    <t>Studi domestik oleh Dosen 35 (2024) (contoh)</t>
  </si>
  <si>
    <t>P0137</t>
  </si>
  <si>
    <t>P0138</t>
  </si>
  <si>
    <t>Studi domestik oleh Dosen 36 (2026) (contoh)</t>
  </si>
  <si>
    <t>P0139</t>
  </si>
  <si>
    <t>Studi domestik oleh Dosen 36 (2024) (contoh)</t>
  </si>
  <si>
    <t>P0140</t>
  </si>
  <si>
    <t>P0141</t>
  </si>
  <si>
    <t>Studi domestik oleh Dosen 37 (2024) (contoh)</t>
  </si>
  <si>
    <t>P0142</t>
  </si>
  <si>
    <t>Studi domestik oleh Dosen 37 (2022) (contoh)</t>
  </si>
  <si>
    <t>P0143</t>
  </si>
  <si>
    <t>Studi domestik oleh Dosen 38 (2022) (contoh)</t>
  </si>
  <si>
    <t>P0144</t>
  </si>
  <si>
    <t>Studi domestik oleh Dosen 38 (2026) (contoh)</t>
  </si>
  <si>
    <t>P0145</t>
  </si>
  <si>
    <t>Studi domestik oleh Dosen 39 (2023) (contoh)</t>
  </si>
  <si>
    <t>P0146</t>
  </si>
  <si>
    <t>Studi domestik oleh Dosen 39 (2024) (contoh)</t>
  </si>
  <si>
    <t>P0147</t>
  </si>
  <si>
    <t>Studi domestik oleh Dosen 39 (2022) (contoh)</t>
  </si>
  <si>
    <t>P0148</t>
  </si>
  <si>
    <t>Studi domestik oleh Dosen 40 (2025) (contoh)</t>
  </si>
  <si>
    <t>P0149</t>
  </si>
  <si>
    <t>Studi domestik oleh Dosen 40 (2026) (contoh)</t>
  </si>
  <si>
    <t>publikasi_id</t>
  </si>
  <si>
    <t>dosen_id</t>
  </si>
  <si>
    <t>FWCI (helper)</t>
  </si>
  <si>
    <t>Bidang (helper)</t>
  </si>
  <si>
    <t>Tahun (helper)</t>
  </si>
  <si>
    <t>status_naskah</t>
  </si>
  <si>
    <t>target_jurnal</t>
  </si>
  <si>
    <t>estimasi_tahun_terbit</t>
  </si>
  <si>
    <t>Institusi (helper)</t>
  </si>
  <si>
    <t>Dosen (helper)</t>
  </si>
  <si>
    <t>N001</t>
  </si>
  <si>
    <t>Structural Fatigue Analysis of Offshore Wind Turbine Foundations (contoh)</t>
  </si>
  <si>
    <t>Under review</t>
  </si>
  <si>
    <t>Ocean Engineering</t>
  </si>
  <si>
    <t>N002</t>
  </si>
  <si>
    <t>Hybrid Propulsion System Efficiency for Short-Sea Shipping (contoh)</t>
  </si>
  <si>
    <t>Submitted</t>
  </si>
  <si>
    <t>Applied Energy</t>
  </si>
  <si>
    <t>N003</t>
  </si>
  <si>
    <t>Life Cycle Cost Comparison of Alternative Marine Fuels (contoh)</t>
  </si>
  <si>
    <t>Dalam penyusunan</t>
  </si>
  <si>
    <t>Transportation Research Part D</t>
  </si>
  <si>
    <t>N004</t>
  </si>
  <si>
    <t>Lightweight Deep Learning Model for Medical Image Steganalysis (contoh)</t>
  </si>
  <si>
    <t>IEEE Access</t>
  </si>
  <si>
    <t>N005</t>
  </si>
  <si>
    <t>Machine Learning-Based Material Discovery for Sensor Applications (contoh)</t>
  </si>
  <si>
    <t>Advanced Materials</t>
  </si>
  <si>
    <t>N006</t>
  </si>
  <si>
    <t>Cross-Border Collaborative Framework for Renewable Energy Policy (contoh)</t>
  </si>
  <si>
    <t>Energy Policy</t>
  </si>
  <si>
    <t>N007</t>
  </si>
  <si>
    <t>Comparative Analysis of ASEAN Smart Grid Readiness (contoh)</t>
  </si>
  <si>
    <t>Draft internal</t>
  </si>
  <si>
    <t>N008</t>
  </si>
  <si>
    <t>Data-Driven Approach to Regional Energy Security (contoh)</t>
  </si>
  <si>
    <t>N009</t>
  </si>
  <si>
    <t>Epidemiological Modeling of Tropical Disease Spread in Coastal Communities (contoh)</t>
  </si>
  <si>
    <t>The Lancet Regional Health</t>
  </si>
  <si>
    <t>N010</t>
  </si>
  <si>
    <t>Smart Grid Load Balancing Using Renewable Energy Sources (contoh)</t>
  </si>
  <si>
    <t>IEEE Transactions on Smart Grid</t>
  </si>
  <si>
    <t>N011</t>
  </si>
  <si>
    <t>Advanced Photonic Sensor Design for Marine Environmental Monitoring (contoh)</t>
  </si>
  <si>
    <t>Sensors and Actuators B</t>
  </si>
  <si>
    <t>N012</t>
  </si>
  <si>
    <t>Quantum-Enhanced Computational Methods for Materials Science (contoh)</t>
  </si>
  <si>
    <t>Physical Review Materials</t>
  </si>
  <si>
    <t>N013</t>
  </si>
  <si>
    <t>Autonomous Underwater Vehicle Navigation Using Reinforcement Learning (contoh)</t>
  </si>
  <si>
    <t>IEEE Journal of Oceanic Engineering</t>
  </si>
  <si>
    <t>nama_universitas</t>
  </si>
  <si>
    <t>tahun_data</t>
  </si>
  <si>
    <t>rank_qs_overall</t>
  </si>
  <si>
    <t>L_negara_sustained_agregat</t>
  </si>
  <si>
    <t>P_institusi_sustained_agregat</t>
  </si>
  <si>
    <t>U01</t>
  </si>
  <si>
    <t>ITB</t>
  </si>
  <si>
    <t>Belum terverifikasi</t>
  </si>
  <si>
    <t>U02</t>
  </si>
  <si>
    <t>Universitas Indonesia</t>
  </si>
  <si>
    <t>U03</t>
  </si>
  <si>
    <t>UTM</t>
  </si>
  <si>
    <t>U04</t>
  </si>
  <si>
    <t>U05</t>
  </si>
  <si>
    <t>universitas_id</t>
  </si>
  <si>
    <t>Universitas (helper)</t>
  </si>
  <si>
    <t>tahun</t>
  </si>
  <si>
    <t>fwci_rata_rata</t>
  </si>
  <si>
    <t>skor_irn_resmi</t>
  </si>
  <si>
    <t>Belum dirilis QS</t>
  </si>
  <si>
    <t>nama_institusi_mitra</t>
  </si>
  <si>
    <t>Status vs ITS (formula)</t>
  </si>
  <si>
    <t>École Polytechnique</t>
  </si>
  <si>
    <t>Prancis</t>
  </si>
  <si>
    <t>Harvard T.H. Chan School of Public Health</t>
  </si>
  <si>
    <t>Amerika Serikat</t>
  </si>
  <si>
    <t>King Abdulaziz University</t>
  </si>
  <si>
    <t>Arab Saudi</t>
  </si>
  <si>
    <t>TU Munich</t>
  </si>
  <si>
    <t>NTNU</t>
  </si>
  <si>
    <t>Norwegia</t>
  </si>
  <si>
    <t>Tsinghua University</t>
  </si>
  <si>
    <t>MIT</t>
  </si>
  <si>
    <t>Topik/Bidang Unggulan</t>
  </si>
  <si>
    <t>Seluruh kolom di sheet ini adalah FORMULA (tidak diisi manual). Kolom bidang = rata-rata FWCI publikasi dosen fakultas itu pada bidang tersebut (lewat Publikasi_Penulis). Kolom terakhir = bidang dengan rata-rata tertinggi.</t>
  </si>
  <si>
    <t>Fakultas</t>
  </si>
  <si>
    <t>Departemen</t>
  </si>
  <si>
    <t>Dosen</t>
  </si>
  <si>
    <t>Institusi_Mitra</t>
  </si>
  <si>
    <t>Publikasi</t>
  </si>
  <si>
    <t>Publikasi_Penulis</t>
  </si>
  <si>
    <t>Naskah_Pipeline</t>
  </si>
  <si>
    <t>Universitas_Pembanding</t>
  </si>
  <si>
    <t>Universitas_Pembanding_FWCI</t>
  </si>
  <si>
    <t>Metrik_ITS_Tahunan</t>
  </si>
  <si>
    <t>Kolaborasi_Pembanding</t>
  </si>
  <si>
    <t>Topik_Unggulan_Fakultas (hasil).</t>
  </si>
  <si>
    <t>Data</t>
  </si>
  <si>
    <t>Sumber</t>
  </si>
  <si>
    <t>satker</t>
  </si>
  <si>
    <t>scival / scholar</t>
  </si>
  <si>
    <t>myits_research / simpel</t>
  </si>
  <si>
    <t>scival</t>
  </si>
  <si>
    <t>website qs</t>
  </si>
  <si>
    <t>hasil perhitungan</t>
  </si>
  <si>
    <t>PIC</t>
  </si>
  <si>
    <t>Fika</t>
  </si>
  <si>
    <t>Olyn</t>
  </si>
  <si>
    <t>Status</t>
  </si>
  <si>
    <t>Deadline:</t>
  </si>
  <si>
    <t>30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</si>
</sst>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4"/>
      <color rgb="FF1F4E78"/>
      <name val="Arial"/>
      <charset val="1"/>
    </font>
    <font>
      <sz val="10"/>
      <name val="Arial"/>
      <charset val="1"/>
    </font>
    <font>
      <b/>
      <sz val="11"/>
      <color rgb="FF1F4E78"/>
      <name val="Arial"/>
      <charset val="1"/>
    </font>
    <font>
      <sz val="10"/>
      <color rgb="FF0000FF"/>
      <name val="Arial"/>
      <charset val="1"/>
    </font>
    <font>
      <i/>
      <sz val="10"/>
      <color rgb="FF80808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0"/>
      <color rgb="FF1F4E78"/>
      <name val="Arial"/>
      <charset val="1"/>
    </font>
    <font>
      <i/>
      <sz val="9"/>
      <name val="Arial"/>
      <charset val="1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9" fillId="0" borderId="0" xfId="0" applyFont="1" applyAlignment="1">
      <alignment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0" fontId="8" fillId="0" borderId="1" xfId="0" applyFont="1" applyBorder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8E7802-CF55-470C-9AF8-9D7763F39199}" name="Table1" displayName="Table1" ref="B2:E14" totalsRowShown="0">
  <autoFilter ref="B2:E14" xr:uid="{4A8E7802-CF55-470C-9AF8-9D7763F39199}"/>
  <tableColumns count="4">
    <tableColumn id="1" xr3:uid="{58A5BC3D-AB2D-426C-BEBB-9B2628D88068}" name="Data"/>
    <tableColumn id="2" xr3:uid="{5CB1E22E-CDE4-4AA1-BF00-04B13BE039F9}" name="Sumber"/>
    <tableColumn id="3" xr3:uid="{42BFE63D-B9DB-4305-B218-34780D69247E}" name="PIC"/>
    <tableColumn id="4" xr3:uid="{67BD67FA-42EE-4570-B913-5861BDAD1A13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8"/>
  <sheetViews>
    <sheetView showGridLines="0" zoomScale="110" zoomScaleNormal="110" workbookViewId="0">
      <selection activeCell="D23" sqref="D23"/>
    </sheetView>
  </sheetViews>
  <sheetFormatPr defaultColWidth="8.7109375" defaultRowHeight="15" x14ac:dyDescent="0.25"/>
  <cols>
    <col min="1" max="1" width="3" customWidth="1"/>
    <col min="2" max="2" width="100" customWidth="1"/>
  </cols>
  <sheetData>
    <row r="2" spans="2:2" ht="18" x14ac:dyDescent="0.25">
      <c r="B2" s="2" t="s">
        <v>0</v>
      </c>
    </row>
    <row r="4" spans="2:2" ht="25.5" x14ac:dyDescent="0.25">
      <c r="B4" s="3" t="s">
        <v>1</v>
      </c>
    </row>
    <row r="6" spans="2:2" x14ac:dyDescent="0.25">
      <c r="B6" s="4" t="s">
        <v>2</v>
      </c>
    </row>
    <row r="7" spans="2:2" ht="51" x14ac:dyDescent="0.25">
      <c r="B7" s="3" t="s">
        <v>3</v>
      </c>
    </row>
    <row r="9" spans="2:2" x14ac:dyDescent="0.25">
      <c r="B9" s="4" t="s">
        <v>4</v>
      </c>
    </row>
    <row r="10" spans="2:2" x14ac:dyDescent="0.25">
      <c r="B10" s="5" t="s">
        <v>5</v>
      </c>
    </row>
    <row r="11" spans="2:2" x14ac:dyDescent="0.25">
      <c r="B11" s="6" t="s">
        <v>6</v>
      </c>
    </row>
    <row r="12" spans="2:2" x14ac:dyDescent="0.25">
      <c r="B12" s="7" t="s">
        <v>7</v>
      </c>
    </row>
    <row r="14" spans="2:2" x14ac:dyDescent="0.25">
      <c r="B14" s="4" t="s">
        <v>8</v>
      </c>
    </row>
    <row r="15" spans="2:2" ht="38.25" x14ac:dyDescent="0.25">
      <c r="B15" s="3" t="s">
        <v>9</v>
      </c>
    </row>
    <row r="17" spans="2:2" x14ac:dyDescent="0.25">
      <c r="B17" s="4" t="s">
        <v>10</v>
      </c>
    </row>
    <row r="18" spans="2:2" ht="38.25" x14ac:dyDescent="0.25">
      <c r="B18" s="3" t="s">
        <v>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5ACB-CBDE-4FA8-9D95-A74FEE0476B5}">
  <dimension ref="B2:E17"/>
  <sheetViews>
    <sheetView tabSelected="1" workbookViewId="0">
      <selection activeCell="I10" sqref="I10"/>
    </sheetView>
  </sheetViews>
  <sheetFormatPr defaultRowHeight="15" x14ac:dyDescent="0.25"/>
  <cols>
    <col min="2" max="2" width="30.7109375" bestFit="1" customWidth="1"/>
    <col min="3" max="3" width="22.5703125" bestFit="1" customWidth="1"/>
  </cols>
  <sheetData>
    <row r="2" spans="2:5" x14ac:dyDescent="0.25">
      <c r="B2" t="s">
        <v>604</v>
      </c>
      <c r="C2" t="s">
        <v>605</v>
      </c>
      <c r="D2" t="s">
        <v>612</v>
      </c>
      <c r="E2" t="s">
        <v>615</v>
      </c>
    </row>
    <row r="3" spans="2:5" x14ac:dyDescent="0.25">
      <c r="B3" t="s">
        <v>592</v>
      </c>
      <c r="C3" t="s">
        <v>606</v>
      </c>
      <c r="D3" t="s">
        <v>614</v>
      </c>
    </row>
    <row r="4" spans="2:5" x14ac:dyDescent="0.25">
      <c r="B4" t="s">
        <v>593</v>
      </c>
      <c r="C4" t="s">
        <v>606</v>
      </c>
      <c r="D4" t="s">
        <v>614</v>
      </c>
    </row>
    <row r="5" spans="2:5" x14ac:dyDescent="0.25">
      <c r="B5" t="s">
        <v>594</v>
      </c>
      <c r="C5" t="s">
        <v>606</v>
      </c>
      <c r="D5" t="s">
        <v>614</v>
      </c>
    </row>
    <row r="6" spans="2:5" x14ac:dyDescent="0.25">
      <c r="B6" t="s">
        <v>595</v>
      </c>
      <c r="C6" t="s">
        <v>607</v>
      </c>
      <c r="D6" t="s">
        <v>613</v>
      </c>
    </row>
    <row r="7" spans="2:5" x14ac:dyDescent="0.25">
      <c r="B7" t="s">
        <v>596</v>
      </c>
      <c r="C7" t="s">
        <v>607</v>
      </c>
      <c r="D7" t="s">
        <v>613</v>
      </c>
    </row>
    <row r="8" spans="2:5" x14ac:dyDescent="0.25">
      <c r="B8" t="s">
        <v>597</v>
      </c>
      <c r="C8" t="s">
        <v>607</v>
      </c>
      <c r="D8" t="s">
        <v>613</v>
      </c>
    </row>
    <row r="9" spans="2:5" x14ac:dyDescent="0.25">
      <c r="B9" t="s">
        <v>598</v>
      </c>
      <c r="C9" t="s">
        <v>608</v>
      </c>
      <c r="D9" t="s">
        <v>613</v>
      </c>
    </row>
    <row r="10" spans="2:5" x14ac:dyDescent="0.25">
      <c r="B10" t="s">
        <v>599</v>
      </c>
      <c r="C10" t="s">
        <v>609</v>
      </c>
      <c r="D10" t="s">
        <v>614</v>
      </c>
    </row>
    <row r="11" spans="2:5" x14ac:dyDescent="0.25">
      <c r="B11" t="s">
        <v>600</v>
      </c>
      <c r="C11" t="s">
        <v>609</v>
      </c>
      <c r="D11" t="s">
        <v>614</v>
      </c>
    </row>
    <row r="12" spans="2:5" x14ac:dyDescent="0.25">
      <c r="B12" t="s">
        <v>601</v>
      </c>
      <c r="C12" t="s">
        <v>610</v>
      </c>
      <c r="D12" t="s">
        <v>614</v>
      </c>
    </row>
    <row r="13" spans="2:5" x14ac:dyDescent="0.25">
      <c r="B13" t="s">
        <v>602</v>
      </c>
      <c r="C13" t="s">
        <v>609</v>
      </c>
      <c r="D13" t="s">
        <v>614</v>
      </c>
    </row>
    <row r="14" spans="2:5" x14ac:dyDescent="0.25">
      <c r="B14" t="s">
        <v>603</v>
      </c>
      <c r="C14" t="s">
        <v>611</v>
      </c>
      <c r="D14" t="s">
        <v>614</v>
      </c>
    </row>
    <row r="16" spans="2:5" x14ac:dyDescent="0.25">
      <c r="B16" t="s">
        <v>616</v>
      </c>
    </row>
    <row r="17" spans="2:2" x14ac:dyDescent="0.25">
      <c r="B17" s="14" t="s">
        <v>617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8" customWidth="1"/>
    <col min="2" max="2" width="55" customWidth="1"/>
  </cols>
  <sheetData>
    <row r="1" spans="1:2" x14ac:dyDescent="0.25">
      <c r="A1" s="8" t="s">
        <v>12</v>
      </c>
      <c r="B1" s="8" t="s">
        <v>13</v>
      </c>
    </row>
    <row r="2" spans="1:2" x14ac:dyDescent="0.25">
      <c r="A2" s="9" t="s">
        <v>14</v>
      </c>
      <c r="B2" s="9" t="s">
        <v>15</v>
      </c>
    </row>
    <row r="3" spans="1:2" x14ac:dyDescent="0.25">
      <c r="A3" s="9" t="s">
        <v>16</v>
      </c>
      <c r="B3" s="9" t="s">
        <v>17</v>
      </c>
    </row>
    <row r="4" spans="1:2" x14ac:dyDescent="0.25">
      <c r="A4" s="9" t="s">
        <v>18</v>
      </c>
      <c r="B4" s="9" t="s">
        <v>19</v>
      </c>
    </row>
    <row r="5" spans="1:2" x14ac:dyDescent="0.25">
      <c r="A5" s="9" t="s">
        <v>20</v>
      </c>
      <c r="B5" s="9" t="s">
        <v>21</v>
      </c>
    </row>
    <row r="6" spans="1:2" x14ac:dyDescent="0.25">
      <c r="A6" s="9" t="s">
        <v>22</v>
      </c>
      <c r="B6" s="9" t="s">
        <v>23</v>
      </c>
    </row>
    <row r="7" spans="1:2" x14ac:dyDescent="0.25">
      <c r="A7" s="9" t="s">
        <v>24</v>
      </c>
      <c r="B7" s="9" t="s">
        <v>25</v>
      </c>
    </row>
    <row r="8" spans="1:2" x14ac:dyDescent="0.25">
      <c r="A8" s="9" t="s">
        <v>26</v>
      </c>
      <c r="B8" s="9" t="s">
        <v>27</v>
      </c>
    </row>
    <row r="9" spans="1:2" x14ac:dyDescent="0.25">
      <c r="A9" s="9" t="s">
        <v>28</v>
      </c>
      <c r="B9" s="9" t="s">
        <v>29</v>
      </c>
    </row>
    <row r="10" spans="1:2" x14ac:dyDescent="0.25">
      <c r="A10" s="9" t="s">
        <v>30</v>
      </c>
      <c r="B10" s="9" t="s">
        <v>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zoomScaleNormal="100" workbookViewId="0">
      <pane ySplit="1" topLeftCell="A2" activePane="bottomLeft" state="frozen"/>
      <selection pane="bottomLeft" activeCell="D9" sqref="D9"/>
    </sheetView>
  </sheetViews>
  <sheetFormatPr defaultColWidth="8.7109375" defaultRowHeight="15" x14ac:dyDescent="0.25"/>
  <cols>
    <col min="1" max="1" width="8" customWidth="1"/>
    <col min="2" max="2" width="12" customWidth="1"/>
    <col min="3" max="4" width="45" customWidth="1"/>
  </cols>
  <sheetData>
    <row r="1" spans="1:4" x14ac:dyDescent="0.25">
      <c r="A1" s="8" t="s">
        <v>12</v>
      </c>
      <c r="B1" s="8" t="s">
        <v>32</v>
      </c>
      <c r="C1" s="8" t="s">
        <v>33</v>
      </c>
      <c r="D1" s="8" t="s">
        <v>34</v>
      </c>
    </row>
    <row r="2" spans="1:4" x14ac:dyDescent="0.25">
      <c r="A2" s="9" t="s">
        <v>35</v>
      </c>
      <c r="B2" s="9" t="s">
        <v>14</v>
      </c>
      <c r="C2" s="9" t="s">
        <v>36</v>
      </c>
      <c r="D2" s="10" t="str">
        <f>VLOOKUP(B2,Fakultas!$A:$B,2,FALSE())</f>
        <v>Faculty of Marine Technology</v>
      </c>
    </row>
    <row r="3" spans="1:4" x14ac:dyDescent="0.25">
      <c r="A3" s="9" t="s">
        <v>37</v>
      </c>
      <c r="B3" s="9" t="s">
        <v>14</v>
      </c>
      <c r="C3" s="9" t="s">
        <v>38</v>
      </c>
      <c r="D3" s="10" t="str">
        <f>VLOOKUP(B3,Fakultas!$A:$B,2,FALSE())</f>
        <v>Faculty of Marine Technology</v>
      </c>
    </row>
    <row r="4" spans="1:4" x14ac:dyDescent="0.25">
      <c r="A4" s="9" t="s">
        <v>39</v>
      </c>
      <c r="B4" s="9" t="s">
        <v>16</v>
      </c>
      <c r="C4" s="9" t="s">
        <v>40</v>
      </c>
      <c r="D4" s="10" t="str">
        <f>VLOOKUP(B4,Fakultas!$A:$B,2,FALSE())</f>
        <v>Faculty of Intelligent Electrical and Informatics Technology</v>
      </c>
    </row>
    <row r="5" spans="1:4" x14ac:dyDescent="0.25">
      <c r="A5" s="9" t="s">
        <v>41</v>
      </c>
      <c r="B5" s="9" t="s">
        <v>16</v>
      </c>
      <c r="C5" s="9" t="s">
        <v>42</v>
      </c>
      <c r="D5" s="10" t="str">
        <f>VLOOKUP(B5,Fakultas!$A:$B,2,FALSE())</f>
        <v>Faculty of Intelligent Electrical and Informatics Technology</v>
      </c>
    </row>
    <row r="6" spans="1:4" x14ac:dyDescent="0.25">
      <c r="A6" s="9" t="s">
        <v>43</v>
      </c>
      <c r="B6" s="9" t="s">
        <v>16</v>
      </c>
      <c r="C6" s="9" t="s">
        <v>44</v>
      </c>
      <c r="D6" s="10" t="str">
        <f>VLOOKUP(B6,Fakultas!$A:$B,2,FALSE())</f>
        <v>Faculty of Intelligent Electrical and Informatics Technology</v>
      </c>
    </row>
    <row r="7" spans="1:4" x14ac:dyDescent="0.25">
      <c r="A7" s="9" t="s">
        <v>45</v>
      </c>
      <c r="B7" s="9" t="s">
        <v>18</v>
      </c>
      <c r="C7" s="9" t="s">
        <v>46</v>
      </c>
      <c r="D7" s="10" t="str">
        <f>VLOOKUP(B7,Fakultas!$A:$B,2,FALSE())</f>
        <v>Faculty of Civil, Planning, and Geo-Engineering</v>
      </c>
    </row>
    <row r="8" spans="1:4" x14ac:dyDescent="0.25">
      <c r="A8" s="9" t="s">
        <v>47</v>
      </c>
      <c r="B8" s="9" t="s">
        <v>20</v>
      </c>
      <c r="C8" s="9" t="s">
        <v>46</v>
      </c>
      <c r="D8" s="10" t="str">
        <f>VLOOKUP(B8,Fakultas!$A:$B,2,FALSE())</f>
        <v>Faculty of Industrial Technology and System Engineering</v>
      </c>
    </row>
    <row r="9" spans="1:4" x14ac:dyDescent="0.25">
      <c r="A9" s="9" t="s">
        <v>48</v>
      </c>
      <c r="B9" s="9" t="s">
        <v>22</v>
      </c>
      <c r="C9" s="9" t="s">
        <v>46</v>
      </c>
      <c r="D9" s="10" t="str">
        <f>VLOOKUP(B9,Fakultas!$A:$B,2,FALSE())</f>
        <v>Faculty of Creative Design and Digital Business</v>
      </c>
    </row>
    <row r="10" spans="1:4" x14ac:dyDescent="0.25">
      <c r="A10" s="9" t="s">
        <v>49</v>
      </c>
      <c r="B10" s="9" t="s">
        <v>24</v>
      </c>
      <c r="C10" s="9" t="s">
        <v>46</v>
      </c>
      <c r="D10" s="10" t="str">
        <f>VLOOKUP(B10,Fakultas!$A:$B,2,FALSE())</f>
        <v>Faculty of Medicine and Health</v>
      </c>
    </row>
    <row r="11" spans="1:4" x14ac:dyDescent="0.25">
      <c r="A11" s="9" t="s">
        <v>50</v>
      </c>
      <c r="B11" s="9" t="s">
        <v>26</v>
      </c>
      <c r="C11" s="9" t="s">
        <v>46</v>
      </c>
      <c r="D11" s="10" t="str">
        <f>VLOOKUP(B11,Fakultas!$A:$B,2,FALSE())</f>
        <v>Faculty of Science and Data Analytics</v>
      </c>
    </row>
    <row r="12" spans="1:4" x14ac:dyDescent="0.25">
      <c r="A12" s="9" t="s">
        <v>51</v>
      </c>
      <c r="B12" s="9" t="s">
        <v>28</v>
      </c>
      <c r="C12" s="9" t="s">
        <v>46</v>
      </c>
      <c r="D12" s="10" t="str">
        <f>VLOOKUP(B12,Fakultas!$A:$B,2,FALSE())</f>
        <v>Faculty of Vocation</v>
      </c>
    </row>
    <row r="13" spans="1:4" x14ac:dyDescent="0.25">
      <c r="A13" s="9" t="s">
        <v>52</v>
      </c>
      <c r="B13" s="9" t="s">
        <v>30</v>
      </c>
      <c r="C13" s="9" t="s">
        <v>46</v>
      </c>
      <c r="D13" s="10" t="str">
        <f>VLOOKUP(B13,Fakultas!$A:$B,2,FALSE())</f>
        <v>School of Interdisciplinary Management and Technology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9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8.7109375" defaultRowHeight="15" x14ac:dyDescent="0.25"/>
  <cols>
    <col min="1" max="1" width="8" customWidth="1"/>
    <col min="2" max="2" width="12" customWidth="1"/>
    <col min="3" max="4" width="45" customWidth="1"/>
  </cols>
  <sheetData>
    <row r="1" spans="1:4" ht="25.5" x14ac:dyDescent="0.25">
      <c r="A1" s="8" t="s">
        <v>12</v>
      </c>
      <c r="B1" s="8" t="s">
        <v>53</v>
      </c>
      <c r="C1" s="8" t="s">
        <v>54</v>
      </c>
      <c r="D1" s="8" t="s">
        <v>34</v>
      </c>
    </row>
    <row r="2" spans="1:4" x14ac:dyDescent="0.25">
      <c r="A2" s="9" t="s">
        <v>55</v>
      </c>
      <c r="B2" s="9" t="s">
        <v>35</v>
      </c>
      <c r="C2" s="9" t="s">
        <v>56</v>
      </c>
      <c r="D2" s="10" t="str">
        <f>VLOOKUP(B2,Departemen!$A:$D,4,FALSE())</f>
        <v>Faculty of Marine Technology</v>
      </c>
    </row>
    <row r="3" spans="1:4" x14ac:dyDescent="0.25">
      <c r="A3" s="9" t="s">
        <v>57</v>
      </c>
      <c r="B3" s="9" t="s">
        <v>35</v>
      </c>
      <c r="C3" s="9" t="s">
        <v>58</v>
      </c>
      <c r="D3" s="10" t="str">
        <f>VLOOKUP(B3,Departemen!$A:$D,4,FALSE())</f>
        <v>Faculty of Marine Technology</v>
      </c>
    </row>
    <row r="4" spans="1:4" x14ac:dyDescent="0.25">
      <c r="A4" s="9" t="s">
        <v>59</v>
      </c>
      <c r="B4" s="9" t="s">
        <v>35</v>
      </c>
      <c r="C4" s="9" t="s">
        <v>60</v>
      </c>
      <c r="D4" s="10" t="str">
        <f>VLOOKUP(B4,Departemen!$A:$D,4,FALSE())</f>
        <v>Faculty of Marine Technology</v>
      </c>
    </row>
    <row r="5" spans="1:4" x14ac:dyDescent="0.25">
      <c r="A5" s="9" t="s">
        <v>61</v>
      </c>
      <c r="B5" s="9" t="s">
        <v>35</v>
      </c>
      <c r="C5" s="9" t="s">
        <v>62</v>
      </c>
      <c r="D5" s="10" t="str">
        <f>VLOOKUP(B5,Departemen!$A:$D,4,FALSE())</f>
        <v>Faculty of Marine Technology</v>
      </c>
    </row>
    <row r="6" spans="1:4" x14ac:dyDescent="0.25">
      <c r="A6" s="9" t="s">
        <v>63</v>
      </c>
      <c r="B6" s="9" t="s">
        <v>37</v>
      </c>
      <c r="C6" s="9" t="s">
        <v>64</v>
      </c>
      <c r="D6" s="10" t="str">
        <f>VLOOKUP(B6,Departemen!$A:$D,4,FALSE())</f>
        <v>Faculty of Marine Technology</v>
      </c>
    </row>
    <row r="7" spans="1:4" x14ac:dyDescent="0.25">
      <c r="A7" s="9" t="s">
        <v>65</v>
      </c>
      <c r="B7" s="9" t="s">
        <v>37</v>
      </c>
      <c r="C7" s="9" t="s">
        <v>66</v>
      </c>
      <c r="D7" s="10" t="str">
        <f>VLOOKUP(B7,Departemen!$A:$D,4,FALSE())</f>
        <v>Faculty of Marine Technology</v>
      </c>
    </row>
    <row r="8" spans="1:4" x14ac:dyDescent="0.25">
      <c r="A8" s="9" t="s">
        <v>67</v>
      </c>
      <c r="B8" s="9" t="s">
        <v>37</v>
      </c>
      <c r="C8" s="9" t="s">
        <v>68</v>
      </c>
      <c r="D8" s="10" t="str">
        <f>VLOOKUP(B8,Departemen!$A:$D,4,FALSE())</f>
        <v>Faculty of Marine Technology</v>
      </c>
    </row>
    <row r="9" spans="1:4" x14ac:dyDescent="0.25">
      <c r="A9" s="9" t="s">
        <v>69</v>
      </c>
      <c r="B9" s="9" t="s">
        <v>37</v>
      </c>
      <c r="C9" s="9" t="s">
        <v>70</v>
      </c>
      <c r="D9" s="10" t="str">
        <f>VLOOKUP(B9,Departemen!$A:$D,4,FALSE())</f>
        <v>Faculty of Marine Technology</v>
      </c>
    </row>
    <row r="10" spans="1:4" x14ac:dyDescent="0.25">
      <c r="A10" s="9" t="s">
        <v>71</v>
      </c>
      <c r="B10" s="9" t="s">
        <v>39</v>
      </c>
      <c r="C10" s="9" t="s">
        <v>72</v>
      </c>
      <c r="D10" s="10" t="str">
        <f>VLOOKUP(B10,Departemen!$A:$D,4,FALSE())</f>
        <v>Faculty of Intelligent Electrical and Informatics Technology</v>
      </c>
    </row>
    <row r="11" spans="1:4" x14ac:dyDescent="0.25">
      <c r="A11" s="9" t="s">
        <v>73</v>
      </c>
      <c r="B11" s="9" t="s">
        <v>39</v>
      </c>
      <c r="C11" s="9" t="s">
        <v>74</v>
      </c>
      <c r="D11" s="10" t="str">
        <f>VLOOKUP(B11,Departemen!$A:$D,4,FALSE())</f>
        <v>Faculty of Intelligent Electrical and Informatics Technology</v>
      </c>
    </row>
    <row r="12" spans="1:4" x14ac:dyDescent="0.25">
      <c r="A12" s="9" t="s">
        <v>75</v>
      </c>
      <c r="B12" s="9" t="s">
        <v>39</v>
      </c>
      <c r="C12" s="9" t="s">
        <v>76</v>
      </c>
      <c r="D12" s="10" t="str">
        <f>VLOOKUP(B12,Departemen!$A:$D,4,FALSE())</f>
        <v>Faculty of Intelligent Electrical and Informatics Technology</v>
      </c>
    </row>
    <row r="13" spans="1:4" x14ac:dyDescent="0.25">
      <c r="A13" s="9" t="s">
        <v>77</v>
      </c>
      <c r="B13" s="9" t="s">
        <v>39</v>
      </c>
      <c r="C13" s="9" t="s">
        <v>78</v>
      </c>
      <c r="D13" s="10" t="str">
        <f>VLOOKUP(B13,Departemen!$A:$D,4,FALSE())</f>
        <v>Faculty of Intelligent Electrical and Informatics Technology</v>
      </c>
    </row>
    <row r="14" spans="1:4" x14ac:dyDescent="0.25">
      <c r="A14" s="9" t="s">
        <v>79</v>
      </c>
      <c r="B14" s="9" t="s">
        <v>41</v>
      </c>
      <c r="C14" s="9" t="s">
        <v>80</v>
      </c>
      <c r="D14" s="10" t="str">
        <f>VLOOKUP(B14,Departemen!$A:$D,4,FALSE())</f>
        <v>Faculty of Intelligent Electrical and Informatics Technology</v>
      </c>
    </row>
    <row r="15" spans="1:4" x14ac:dyDescent="0.25">
      <c r="A15" s="9" t="s">
        <v>81</v>
      </c>
      <c r="B15" s="9" t="s">
        <v>41</v>
      </c>
      <c r="C15" s="9" t="s">
        <v>82</v>
      </c>
      <c r="D15" s="10" t="str">
        <f>VLOOKUP(B15,Departemen!$A:$D,4,FALSE())</f>
        <v>Faculty of Intelligent Electrical and Informatics Technology</v>
      </c>
    </row>
    <row r="16" spans="1:4" x14ac:dyDescent="0.25">
      <c r="A16" s="9" t="s">
        <v>83</v>
      </c>
      <c r="B16" s="9" t="s">
        <v>41</v>
      </c>
      <c r="C16" s="9" t="s">
        <v>84</v>
      </c>
      <c r="D16" s="10" t="str">
        <f>VLOOKUP(B16,Departemen!$A:$D,4,FALSE())</f>
        <v>Faculty of Intelligent Electrical and Informatics Technology</v>
      </c>
    </row>
    <row r="17" spans="1:4" x14ac:dyDescent="0.25">
      <c r="A17" s="9" t="s">
        <v>85</v>
      </c>
      <c r="B17" s="9" t="s">
        <v>41</v>
      </c>
      <c r="C17" s="9" t="s">
        <v>86</v>
      </c>
      <c r="D17" s="10" t="str">
        <f>VLOOKUP(B17,Departemen!$A:$D,4,FALSE())</f>
        <v>Faculty of Intelligent Electrical and Informatics Technology</v>
      </c>
    </row>
    <row r="18" spans="1:4" x14ac:dyDescent="0.25">
      <c r="A18" s="9" t="s">
        <v>87</v>
      </c>
      <c r="B18" s="9" t="s">
        <v>43</v>
      </c>
      <c r="C18" s="9" t="s">
        <v>88</v>
      </c>
      <c r="D18" s="10" t="str">
        <f>VLOOKUP(B18,Departemen!$A:$D,4,FALSE())</f>
        <v>Faculty of Intelligent Electrical and Informatics Technology</v>
      </c>
    </row>
    <row r="19" spans="1:4" x14ac:dyDescent="0.25">
      <c r="A19" s="9" t="s">
        <v>89</v>
      </c>
      <c r="B19" s="9" t="s">
        <v>43</v>
      </c>
      <c r="C19" s="9" t="s">
        <v>90</v>
      </c>
      <c r="D19" s="10" t="str">
        <f>VLOOKUP(B19,Departemen!$A:$D,4,FALSE())</f>
        <v>Faculty of Intelligent Electrical and Informatics Technology</v>
      </c>
    </row>
    <row r="20" spans="1:4" x14ac:dyDescent="0.25">
      <c r="A20" s="9" t="s">
        <v>91</v>
      </c>
      <c r="B20" s="9" t="s">
        <v>43</v>
      </c>
      <c r="C20" s="9" t="s">
        <v>92</v>
      </c>
      <c r="D20" s="10" t="str">
        <f>VLOOKUP(B20,Departemen!$A:$D,4,FALSE())</f>
        <v>Faculty of Intelligent Electrical and Informatics Technology</v>
      </c>
    </row>
    <row r="21" spans="1:4" x14ac:dyDescent="0.25">
      <c r="A21" s="9" t="s">
        <v>93</v>
      </c>
      <c r="B21" s="9" t="s">
        <v>43</v>
      </c>
      <c r="C21" s="9" t="s">
        <v>94</v>
      </c>
      <c r="D21" s="10" t="str">
        <f>VLOOKUP(B21,Departemen!$A:$D,4,FALSE())</f>
        <v>Faculty of Intelligent Electrical and Informatics Technology</v>
      </c>
    </row>
    <row r="22" spans="1:4" x14ac:dyDescent="0.25">
      <c r="A22" s="9" t="s">
        <v>95</v>
      </c>
      <c r="B22" s="9" t="s">
        <v>45</v>
      </c>
      <c r="C22" s="9" t="s">
        <v>96</v>
      </c>
      <c r="D22" s="10" t="str">
        <f>VLOOKUP(B22,Departemen!$A:$D,4,FALSE())</f>
        <v>Faculty of Civil, Planning, and Geo-Engineering</v>
      </c>
    </row>
    <row r="23" spans="1:4" x14ac:dyDescent="0.25">
      <c r="A23" s="9" t="s">
        <v>97</v>
      </c>
      <c r="B23" s="9" t="s">
        <v>45</v>
      </c>
      <c r="C23" s="9" t="s">
        <v>98</v>
      </c>
      <c r="D23" s="10" t="str">
        <f>VLOOKUP(B23,Departemen!$A:$D,4,FALSE())</f>
        <v>Faculty of Civil, Planning, and Geo-Engineering</v>
      </c>
    </row>
    <row r="24" spans="1:4" x14ac:dyDescent="0.25">
      <c r="A24" s="9" t="s">
        <v>99</v>
      </c>
      <c r="B24" s="9" t="s">
        <v>45</v>
      </c>
      <c r="C24" s="9" t="s">
        <v>100</v>
      </c>
      <c r="D24" s="10" t="str">
        <f>VLOOKUP(B24,Departemen!$A:$D,4,FALSE())</f>
        <v>Faculty of Civil, Planning, and Geo-Engineering</v>
      </c>
    </row>
    <row r="25" spans="1:4" x14ac:dyDescent="0.25">
      <c r="A25" s="9" t="s">
        <v>101</v>
      </c>
      <c r="B25" s="9" t="s">
        <v>45</v>
      </c>
      <c r="C25" s="9" t="s">
        <v>102</v>
      </c>
      <c r="D25" s="10" t="str">
        <f>VLOOKUP(B25,Departemen!$A:$D,4,FALSE())</f>
        <v>Faculty of Civil, Planning, and Geo-Engineering</v>
      </c>
    </row>
    <row r="26" spans="1:4" x14ac:dyDescent="0.25">
      <c r="A26" s="9" t="s">
        <v>103</v>
      </c>
      <c r="B26" s="9" t="s">
        <v>47</v>
      </c>
      <c r="C26" s="9" t="s">
        <v>104</v>
      </c>
      <c r="D26" s="10" t="str">
        <f>VLOOKUP(B26,Departemen!$A:$D,4,FALSE())</f>
        <v>Faculty of Industrial Technology and System Engineering</v>
      </c>
    </row>
    <row r="27" spans="1:4" x14ac:dyDescent="0.25">
      <c r="A27" s="9" t="s">
        <v>105</v>
      </c>
      <c r="B27" s="9" t="s">
        <v>47</v>
      </c>
      <c r="C27" s="9" t="s">
        <v>106</v>
      </c>
      <c r="D27" s="10" t="str">
        <f>VLOOKUP(B27,Departemen!$A:$D,4,FALSE())</f>
        <v>Faculty of Industrial Technology and System Engineering</v>
      </c>
    </row>
    <row r="28" spans="1:4" x14ac:dyDescent="0.25">
      <c r="A28" s="9" t="s">
        <v>107</v>
      </c>
      <c r="B28" s="9" t="s">
        <v>47</v>
      </c>
      <c r="C28" s="9" t="s">
        <v>108</v>
      </c>
      <c r="D28" s="10" t="str">
        <f>VLOOKUP(B28,Departemen!$A:$D,4,FALSE())</f>
        <v>Faculty of Industrial Technology and System Engineering</v>
      </c>
    </row>
    <row r="29" spans="1:4" x14ac:dyDescent="0.25">
      <c r="A29" s="9" t="s">
        <v>109</v>
      </c>
      <c r="B29" s="9" t="s">
        <v>47</v>
      </c>
      <c r="C29" s="9" t="s">
        <v>110</v>
      </c>
      <c r="D29" s="10" t="str">
        <f>VLOOKUP(B29,Departemen!$A:$D,4,FALSE())</f>
        <v>Faculty of Industrial Technology and System Engineering</v>
      </c>
    </row>
    <row r="30" spans="1:4" x14ac:dyDescent="0.25">
      <c r="A30" s="9" t="s">
        <v>111</v>
      </c>
      <c r="B30" s="9" t="s">
        <v>48</v>
      </c>
      <c r="C30" s="9" t="s">
        <v>112</v>
      </c>
      <c r="D30" s="10" t="str">
        <f>VLOOKUP(B30,Departemen!$A:$D,4,FALSE())</f>
        <v>Faculty of Creative Design and Digital Business</v>
      </c>
    </row>
    <row r="31" spans="1:4" x14ac:dyDescent="0.25">
      <c r="A31" s="9" t="s">
        <v>113</v>
      </c>
      <c r="B31" s="9" t="s">
        <v>48</v>
      </c>
      <c r="C31" s="9" t="s">
        <v>114</v>
      </c>
      <c r="D31" s="10" t="str">
        <f>VLOOKUP(B31,Departemen!$A:$D,4,FALSE())</f>
        <v>Faculty of Creative Design and Digital Business</v>
      </c>
    </row>
    <row r="32" spans="1:4" x14ac:dyDescent="0.25">
      <c r="A32" s="9" t="s">
        <v>115</v>
      </c>
      <c r="B32" s="9" t="s">
        <v>48</v>
      </c>
      <c r="C32" s="9" t="s">
        <v>116</v>
      </c>
      <c r="D32" s="10" t="str">
        <f>VLOOKUP(B32,Departemen!$A:$D,4,FALSE())</f>
        <v>Faculty of Creative Design and Digital Business</v>
      </c>
    </row>
    <row r="33" spans="1:4" x14ac:dyDescent="0.25">
      <c r="A33" s="9" t="s">
        <v>117</v>
      </c>
      <c r="B33" s="9" t="s">
        <v>48</v>
      </c>
      <c r="C33" s="9" t="s">
        <v>118</v>
      </c>
      <c r="D33" s="10" t="str">
        <f>VLOOKUP(B33,Departemen!$A:$D,4,FALSE())</f>
        <v>Faculty of Creative Design and Digital Business</v>
      </c>
    </row>
    <row r="34" spans="1:4" x14ac:dyDescent="0.25">
      <c r="A34" s="9" t="s">
        <v>119</v>
      </c>
      <c r="B34" s="9" t="s">
        <v>49</v>
      </c>
      <c r="C34" s="9" t="s">
        <v>120</v>
      </c>
      <c r="D34" s="10" t="str">
        <f>VLOOKUP(B34,Departemen!$A:$D,4,FALSE())</f>
        <v>Faculty of Medicine and Health</v>
      </c>
    </row>
    <row r="35" spans="1:4" x14ac:dyDescent="0.25">
      <c r="A35" s="9" t="s">
        <v>121</v>
      </c>
      <c r="B35" s="9" t="s">
        <v>49</v>
      </c>
      <c r="C35" s="9" t="s">
        <v>122</v>
      </c>
      <c r="D35" s="10" t="str">
        <f>VLOOKUP(B35,Departemen!$A:$D,4,FALSE())</f>
        <v>Faculty of Medicine and Health</v>
      </c>
    </row>
    <row r="36" spans="1:4" x14ac:dyDescent="0.25">
      <c r="A36" s="9" t="s">
        <v>123</v>
      </c>
      <c r="B36" s="9" t="s">
        <v>49</v>
      </c>
      <c r="C36" s="9" t="s">
        <v>124</v>
      </c>
      <c r="D36" s="10" t="str">
        <f>VLOOKUP(B36,Departemen!$A:$D,4,FALSE())</f>
        <v>Faculty of Medicine and Health</v>
      </c>
    </row>
    <row r="37" spans="1:4" x14ac:dyDescent="0.25">
      <c r="A37" s="9" t="s">
        <v>125</v>
      </c>
      <c r="B37" s="9" t="s">
        <v>49</v>
      </c>
      <c r="C37" s="9" t="s">
        <v>126</v>
      </c>
      <c r="D37" s="10" t="str">
        <f>VLOOKUP(B37,Departemen!$A:$D,4,FALSE())</f>
        <v>Faculty of Medicine and Health</v>
      </c>
    </row>
    <row r="38" spans="1:4" x14ac:dyDescent="0.25">
      <c r="A38" s="9" t="s">
        <v>127</v>
      </c>
      <c r="B38" s="9" t="s">
        <v>50</v>
      </c>
      <c r="C38" s="9" t="s">
        <v>128</v>
      </c>
      <c r="D38" s="10" t="str">
        <f>VLOOKUP(B38,Departemen!$A:$D,4,FALSE())</f>
        <v>Faculty of Science and Data Analytics</v>
      </c>
    </row>
    <row r="39" spans="1:4" x14ac:dyDescent="0.25">
      <c r="A39" s="9" t="s">
        <v>129</v>
      </c>
      <c r="B39" s="9" t="s">
        <v>50</v>
      </c>
      <c r="C39" s="9" t="s">
        <v>130</v>
      </c>
      <c r="D39" s="10" t="str">
        <f>VLOOKUP(B39,Departemen!$A:$D,4,FALSE())</f>
        <v>Faculty of Science and Data Analytics</v>
      </c>
    </row>
    <row r="40" spans="1:4" x14ac:dyDescent="0.25">
      <c r="A40" s="9" t="s">
        <v>131</v>
      </c>
      <c r="B40" s="9" t="s">
        <v>50</v>
      </c>
      <c r="C40" s="9" t="s">
        <v>132</v>
      </c>
      <c r="D40" s="10" t="str">
        <f>VLOOKUP(B40,Departemen!$A:$D,4,FALSE())</f>
        <v>Faculty of Science and Data Analytics</v>
      </c>
    </row>
    <row r="41" spans="1:4" x14ac:dyDescent="0.25">
      <c r="A41" s="9" t="s">
        <v>133</v>
      </c>
      <c r="B41" s="9" t="s">
        <v>50</v>
      </c>
      <c r="C41" s="9" t="s">
        <v>134</v>
      </c>
      <c r="D41" s="10" t="str">
        <f>VLOOKUP(B41,Departemen!$A:$D,4,FALSE())</f>
        <v>Faculty of Science and Data Analytics</v>
      </c>
    </row>
    <row r="42" spans="1:4" x14ac:dyDescent="0.25">
      <c r="A42" s="9" t="s">
        <v>135</v>
      </c>
      <c r="B42" s="9" t="s">
        <v>51</v>
      </c>
      <c r="C42" s="9" t="s">
        <v>136</v>
      </c>
      <c r="D42" s="10" t="str">
        <f>VLOOKUP(B42,Departemen!$A:$D,4,FALSE())</f>
        <v>Faculty of Vocation</v>
      </c>
    </row>
    <row r="43" spans="1:4" x14ac:dyDescent="0.25">
      <c r="A43" s="9" t="s">
        <v>137</v>
      </c>
      <c r="B43" s="9" t="s">
        <v>51</v>
      </c>
      <c r="C43" s="9" t="s">
        <v>138</v>
      </c>
      <c r="D43" s="10" t="str">
        <f>VLOOKUP(B43,Departemen!$A:$D,4,FALSE())</f>
        <v>Faculty of Vocation</v>
      </c>
    </row>
    <row r="44" spans="1:4" x14ac:dyDescent="0.25">
      <c r="A44" s="9" t="s">
        <v>139</v>
      </c>
      <c r="B44" s="9" t="s">
        <v>51</v>
      </c>
      <c r="C44" s="9" t="s">
        <v>140</v>
      </c>
      <c r="D44" s="10" t="str">
        <f>VLOOKUP(B44,Departemen!$A:$D,4,FALSE())</f>
        <v>Faculty of Vocation</v>
      </c>
    </row>
    <row r="45" spans="1:4" x14ac:dyDescent="0.25">
      <c r="A45" s="9" t="s">
        <v>141</v>
      </c>
      <c r="B45" s="9" t="s">
        <v>51</v>
      </c>
      <c r="C45" s="9" t="s">
        <v>142</v>
      </c>
      <c r="D45" s="10" t="str">
        <f>VLOOKUP(B45,Departemen!$A:$D,4,FALSE())</f>
        <v>Faculty of Vocation</v>
      </c>
    </row>
    <row r="46" spans="1:4" x14ac:dyDescent="0.25">
      <c r="A46" s="9" t="s">
        <v>143</v>
      </c>
      <c r="B46" s="9" t="s">
        <v>52</v>
      </c>
      <c r="C46" s="9" t="s">
        <v>144</v>
      </c>
      <c r="D46" s="10" t="str">
        <f>VLOOKUP(B46,Departemen!$A:$D,4,FALSE())</f>
        <v>School of Interdisciplinary Management and Technology</v>
      </c>
    </row>
    <row r="47" spans="1:4" x14ac:dyDescent="0.25">
      <c r="A47" s="9" t="s">
        <v>145</v>
      </c>
      <c r="B47" s="9" t="s">
        <v>52</v>
      </c>
      <c r="C47" s="9" t="s">
        <v>146</v>
      </c>
      <c r="D47" s="10" t="str">
        <f>VLOOKUP(B47,Departemen!$A:$D,4,FALSE())</f>
        <v>School of Interdisciplinary Management and Technology</v>
      </c>
    </row>
    <row r="48" spans="1:4" x14ac:dyDescent="0.25">
      <c r="A48" s="9" t="s">
        <v>147</v>
      </c>
      <c r="B48" s="9" t="s">
        <v>52</v>
      </c>
      <c r="C48" s="9" t="s">
        <v>148</v>
      </c>
      <c r="D48" s="10" t="str">
        <f>VLOOKUP(B48,Departemen!$A:$D,4,FALSE())</f>
        <v>School of Interdisciplinary Management and Technology</v>
      </c>
    </row>
    <row r="49" spans="1:4" x14ac:dyDescent="0.25">
      <c r="A49" s="9" t="s">
        <v>149</v>
      </c>
      <c r="B49" s="9" t="s">
        <v>52</v>
      </c>
      <c r="C49" s="9" t="s">
        <v>150</v>
      </c>
      <c r="D49" s="10" t="str">
        <f>VLOOKUP(B49,Departemen!$A:$D,4,FALSE())</f>
        <v>School of Interdisciplinary Management and Technology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5"/>
  <sheetViews>
    <sheetView zoomScaleNormal="100" workbookViewId="0">
      <pane ySplit="1" topLeftCell="A2" activePane="bottomLeft" state="frozen"/>
      <selection pane="bottomLeft" activeCell="D29" sqref="D29"/>
    </sheetView>
  </sheetViews>
  <sheetFormatPr defaultColWidth="8.7109375" defaultRowHeight="15" x14ac:dyDescent="0.25"/>
  <cols>
    <col min="1" max="1" width="8" customWidth="1"/>
    <col min="2" max="2" width="42" customWidth="1"/>
    <col min="3" max="3" width="18" customWidth="1"/>
    <col min="4" max="4" width="30" customWidth="1"/>
  </cols>
  <sheetData>
    <row r="1" spans="1:4" x14ac:dyDescent="0.25">
      <c r="A1" s="8" t="s">
        <v>12</v>
      </c>
      <c r="B1" s="8" t="s">
        <v>151</v>
      </c>
      <c r="C1" s="8" t="s">
        <v>152</v>
      </c>
      <c r="D1" s="8" t="s">
        <v>153</v>
      </c>
    </row>
    <row r="2" spans="1:4" x14ac:dyDescent="0.25">
      <c r="A2" s="9" t="s">
        <v>154</v>
      </c>
      <c r="B2" s="9" t="s">
        <v>155</v>
      </c>
      <c r="C2" s="9" t="s">
        <v>156</v>
      </c>
      <c r="D2" s="11"/>
    </row>
    <row r="3" spans="1:4" x14ac:dyDescent="0.25">
      <c r="A3" s="9" t="s">
        <v>157</v>
      </c>
      <c r="B3" s="9" t="s">
        <v>158</v>
      </c>
      <c r="C3" s="9" t="s">
        <v>159</v>
      </c>
      <c r="D3" s="11"/>
    </row>
    <row r="4" spans="1:4" x14ac:dyDescent="0.25">
      <c r="A4" s="9" t="s">
        <v>160</v>
      </c>
      <c r="B4" s="9" t="s">
        <v>161</v>
      </c>
      <c r="C4" s="9" t="s">
        <v>162</v>
      </c>
      <c r="D4" s="11"/>
    </row>
    <row r="5" spans="1:4" x14ac:dyDescent="0.25">
      <c r="A5" s="9" t="s">
        <v>163</v>
      </c>
      <c r="B5" s="9" t="s">
        <v>164</v>
      </c>
      <c r="C5" s="9" t="s">
        <v>165</v>
      </c>
      <c r="D5" s="11"/>
    </row>
    <row r="6" spans="1:4" x14ac:dyDescent="0.25">
      <c r="A6" s="9" t="s">
        <v>166</v>
      </c>
      <c r="B6" s="9" t="s">
        <v>167</v>
      </c>
      <c r="C6" s="9" t="s">
        <v>168</v>
      </c>
      <c r="D6" s="11"/>
    </row>
    <row r="7" spans="1:4" x14ac:dyDescent="0.25">
      <c r="A7" s="9" t="s">
        <v>169</v>
      </c>
      <c r="B7" s="9" t="s">
        <v>170</v>
      </c>
      <c r="C7" s="9" t="s">
        <v>159</v>
      </c>
      <c r="D7" s="11"/>
    </row>
    <row r="8" spans="1:4" x14ac:dyDescent="0.25">
      <c r="A8" s="9" t="s">
        <v>171</v>
      </c>
      <c r="B8" s="9" t="s">
        <v>172</v>
      </c>
      <c r="C8" s="9" t="s">
        <v>173</v>
      </c>
      <c r="D8" s="11"/>
    </row>
    <row r="9" spans="1:4" x14ac:dyDescent="0.25">
      <c r="A9" s="9" t="s">
        <v>174</v>
      </c>
      <c r="B9" s="9" t="s">
        <v>175</v>
      </c>
      <c r="C9" s="9" t="s">
        <v>159</v>
      </c>
      <c r="D9" s="11"/>
    </row>
    <row r="10" spans="1:4" x14ac:dyDescent="0.25">
      <c r="A10" s="9" t="s">
        <v>176</v>
      </c>
      <c r="B10" s="9" t="s">
        <v>177</v>
      </c>
      <c r="C10" s="9" t="s">
        <v>178</v>
      </c>
      <c r="D10" s="11"/>
    </row>
    <row r="11" spans="1:4" x14ac:dyDescent="0.25">
      <c r="A11" s="9" t="s">
        <v>179</v>
      </c>
      <c r="B11" s="9" t="s">
        <v>180</v>
      </c>
      <c r="C11" s="9" t="s">
        <v>162</v>
      </c>
      <c r="D11" s="11"/>
    </row>
    <row r="12" spans="1:4" x14ac:dyDescent="0.25">
      <c r="A12" s="9" t="s">
        <v>181</v>
      </c>
      <c r="B12" s="9" t="s">
        <v>182</v>
      </c>
      <c r="C12" s="9" t="s">
        <v>183</v>
      </c>
      <c r="D12" s="11"/>
    </row>
    <row r="13" spans="1:4" x14ac:dyDescent="0.25">
      <c r="A13" s="9" t="s">
        <v>184</v>
      </c>
      <c r="B13" s="9" t="s">
        <v>185</v>
      </c>
      <c r="C13" s="9" t="s">
        <v>168</v>
      </c>
      <c r="D13" s="11"/>
    </row>
    <row r="14" spans="1:4" x14ac:dyDescent="0.25">
      <c r="A14" s="9" t="s">
        <v>186</v>
      </c>
      <c r="B14" s="9" t="s">
        <v>187</v>
      </c>
      <c r="C14" s="9" t="s">
        <v>188</v>
      </c>
      <c r="D14" s="11"/>
    </row>
    <row r="15" spans="1:4" x14ac:dyDescent="0.25">
      <c r="A15" s="9" t="s">
        <v>189</v>
      </c>
      <c r="B15" s="9" t="s">
        <v>190</v>
      </c>
      <c r="C15" s="9" t="s">
        <v>165</v>
      </c>
      <c r="D15" s="11"/>
    </row>
    <row r="16" spans="1:4" x14ac:dyDescent="0.25">
      <c r="A16" s="9" t="s">
        <v>191</v>
      </c>
      <c r="B16" s="9" t="s">
        <v>192</v>
      </c>
      <c r="C16" s="9" t="s">
        <v>193</v>
      </c>
      <c r="D16" s="11"/>
    </row>
    <row r="17" spans="1:4" x14ac:dyDescent="0.25">
      <c r="A17" s="9" t="s">
        <v>194</v>
      </c>
      <c r="B17" s="9" t="s">
        <v>195</v>
      </c>
      <c r="C17" s="9" t="s">
        <v>156</v>
      </c>
      <c r="D17" s="11"/>
    </row>
    <row r="18" spans="1:4" x14ac:dyDescent="0.25">
      <c r="A18" s="9" t="s">
        <v>196</v>
      </c>
      <c r="B18" s="9" t="s">
        <v>197</v>
      </c>
      <c r="C18" s="9" t="s">
        <v>198</v>
      </c>
      <c r="D18" s="11"/>
    </row>
    <row r="19" spans="1:4" x14ac:dyDescent="0.25">
      <c r="A19" s="9" t="s">
        <v>199</v>
      </c>
      <c r="B19" s="9" t="s">
        <v>200</v>
      </c>
      <c r="C19" s="9" t="s">
        <v>201</v>
      </c>
      <c r="D19" s="11"/>
    </row>
    <row r="20" spans="1:4" x14ac:dyDescent="0.25">
      <c r="A20" s="9" t="s">
        <v>202</v>
      </c>
      <c r="B20" s="9" t="s">
        <v>203</v>
      </c>
      <c r="C20" s="9" t="s">
        <v>183</v>
      </c>
      <c r="D20" s="11"/>
    </row>
    <row r="21" spans="1:4" x14ac:dyDescent="0.25">
      <c r="A21" s="9" t="s">
        <v>204</v>
      </c>
      <c r="B21" s="9" t="s">
        <v>205</v>
      </c>
      <c r="C21" s="9" t="s">
        <v>206</v>
      </c>
      <c r="D21" s="11"/>
    </row>
    <row r="22" spans="1:4" x14ac:dyDescent="0.25">
      <c r="A22" s="9" t="s">
        <v>207</v>
      </c>
      <c r="B22" s="9" t="s">
        <v>208</v>
      </c>
      <c r="C22" s="9" t="s">
        <v>209</v>
      </c>
      <c r="D22" s="11"/>
    </row>
    <row r="23" spans="1:4" x14ac:dyDescent="0.25">
      <c r="A23" s="9" t="s">
        <v>210</v>
      </c>
      <c r="B23" s="9" t="s">
        <v>211</v>
      </c>
      <c r="C23" s="9" t="s">
        <v>159</v>
      </c>
      <c r="D23" s="11"/>
    </row>
    <row r="24" spans="1:4" x14ac:dyDescent="0.25">
      <c r="A24" s="9" t="s">
        <v>212</v>
      </c>
      <c r="B24" s="9" t="s">
        <v>213</v>
      </c>
      <c r="C24" s="9" t="s">
        <v>214</v>
      </c>
      <c r="D24" s="11"/>
    </row>
    <row r="25" spans="1:4" x14ac:dyDescent="0.25">
      <c r="A25" s="9" t="s">
        <v>215</v>
      </c>
      <c r="B25" s="9" t="s">
        <v>216</v>
      </c>
      <c r="C25" s="9" t="s">
        <v>201</v>
      </c>
      <c r="D25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0"/>
  <sheetViews>
    <sheetView zoomScaleNormal="100" workbookViewId="0">
      <pane ySplit="1" topLeftCell="A2" activePane="bottomLeft" state="frozen"/>
      <selection pane="bottomLeft" activeCell="A7" sqref="A7:XFD7"/>
    </sheetView>
  </sheetViews>
  <sheetFormatPr defaultColWidth="8.7109375" defaultRowHeight="15" x14ac:dyDescent="0.25"/>
  <cols>
    <col min="1" max="1" width="8" customWidth="1"/>
    <col min="2" max="2" width="16" customWidth="1"/>
    <col min="3" max="3" width="10" customWidth="1"/>
    <col min="4" max="4" width="26" customWidth="1"/>
    <col min="5" max="5" width="5" bestFit="1" customWidth="1"/>
    <col min="6" max="6" width="77.7109375" bestFit="1" customWidth="1"/>
    <col min="7" max="7" width="12" customWidth="1"/>
  </cols>
  <sheetData>
    <row r="1" spans="1:7" ht="25.5" x14ac:dyDescent="0.25">
      <c r="A1" s="8" t="s">
        <v>12</v>
      </c>
      <c r="B1" s="8" t="s">
        <v>217</v>
      </c>
      <c r="C1" s="8" t="s">
        <v>218</v>
      </c>
      <c r="D1" s="8" t="s">
        <v>219</v>
      </c>
      <c r="E1" s="8" t="s">
        <v>220</v>
      </c>
      <c r="F1" s="8" t="s">
        <v>221</v>
      </c>
      <c r="G1" s="8" t="s">
        <v>222</v>
      </c>
    </row>
    <row r="2" spans="1:7" x14ac:dyDescent="0.25">
      <c r="A2" s="9" t="s">
        <v>223</v>
      </c>
      <c r="B2" s="9" t="s">
        <v>154</v>
      </c>
      <c r="C2" s="9">
        <v>2022</v>
      </c>
      <c r="D2" s="9" t="s">
        <v>224</v>
      </c>
      <c r="E2" s="9">
        <v>1.87</v>
      </c>
      <c r="F2" s="9" t="s">
        <v>225</v>
      </c>
      <c r="G2" s="9" t="s">
        <v>226</v>
      </c>
    </row>
    <row r="3" spans="1:7" x14ac:dyDescent="0.25">
      <c r="A3" s="9" t="s">
        <v>227</v>
      </c>
      <c r="B3" s="9" t="s">
        <v>154</v>
      </c>
      <c r="C3" s="9">
        <v>2023</v>
      </c>
      <c r="D3" s="9" t="s">
        <v>224</v>
      </c>
      <c r="E3" s="9">
        <v>1.89</v>
      </c>
      <c r="F3" s="9" t="s">
        <v>228</v>
      </c>
      <c r="G3" s="9" t="s">
        <v>226</v>
      </c>
    </row>
    <row r="4" spans="1:7" x14ac:dyDescent="0.25">
      <c r="A4" s="9" t="s">
        <v>229</v>
      </c>
      <c r="B4" s="9" t="s">
        <v>154</v>
      </c>
      <c r="C4" s="9">
        <v>2024</v>
      </c>
      <c r="D4" s="9" t="s">
        <v>224</v>
      </c>
      <c r="E4" s="9">
        <v>1.81</v>
      </c>
      <c r="F4" s="9" t="s">
        <v>230</v>
      </c>
      <c r="G4" s="9" t="s">
        <v>226</v>
      </c>
    </row>
    <row r="5" spans="1:7" x14ac:dyDescent="0.25">
      <c r="A5" s="9" t="s">
        <v>231</v>
      </c>
      <c r="B5" s="9" t="s">
        <v>154</v>
      </c>
      <c r="C5" s="9">
        <v>2025</v>
      </c>
      <c r="D5" s="9" t="s">
        <v>224</v>
      </c>
      <c r="E5" s="9">
        <v>1.79</v>
      </c>
      <c r="F5" s="9" t="s">
        <v>232</v>
      </c>
      <c r="G5" s="9" t="s">
        <v>226</v>
      </c>
    </row>
    <row r="6" spans="1:7" x14ac:dyDescent="0.25">
      <c r="A6" s="9" t="s">
        <v>233</v>
      </c>
      <c r="B6" s="9" t="s">
        <v>154</v>
      </c>
      <c r="C6" s="9">
        <v>2026</v>
      </c>
      <c r="D6" s="9" t="s">
        <v>224</v>
      </c>
      <c r="E6" s="9">
        <v>1.91</v>
      </c>
      <c r="F6" s="9" t="s">
        <v>234</v>
      </c>
      <c r="G6" s="9" t="s">
        <v>226</v>
      </c>
    </row>
    <row r="7" spans="1:7" x14ac:dyDescent="0.25">
      <c r="A7" s="9" t="s">
        <v>235</v>
      </c>
      <c r="B7" s="9" t="s">
        <v>157</v>
      </c>
      <c r="C7" s="9">
        <v>2023</v>
      </c>
      <c r="D7" s="9" t="s">
        <v>236</v>
      </c>
      <c r="E7" s="9">
        <v>1.1100000000000001</v>
      </c>
      <c r="F7" s="9" t="s">
        <v>237</v>
      </c>
      <c r="G7" s="9" t="s">
        <v>226</v>
      </c>
    </row>
    <row r="8" spans="1:7" x14ac:dyDescent="0.25">
      <c r="A8" s="9" t="s">
        <v>238</v>
      </c>
      <c r="B8" s="9" t="s">
        <v>157</v>
      </c>
      <c r="C8" s="9">
        <v>2024</v>
      </c>
      <c r="D8" s="9" t="s">
        <v>236</v>
      </c>
      <c r="E8" s="9">
        <v>1.02</v>
      </c>
      <c r="F8" s="9" t="s">
        <v>239</v>
      </c>
      <c r="G8" s="9" t="s">
        <v>226</v>
      </c>
    </row>
    <row r="9" spans="1:7" x14ac:dyDescent="0.25">
      <c r="A9" s="9" t="s">
        <v>240</v>
      </c>
      <c r="B9" s="9" t="s">
        <v>157</v>
      </c>
      <c r="C9" s="9">
        <v>2025</v>
      </c>
      <c r="D9" s="9" t="s">
        <v>236</v>
      </c>
      <c r="E9" s="9">
        <v>1.06</v>
      </c>
      <c r="F9" s="9" t="s">
        <v>241</v>
      </c>
      <c r="G9" s="9" t="s">
        <v>226</v>
      </c>
    </row>
    <row r="10" spans="1:7" x14ac:dyDescent="0.25">
      <c r="A10" s="9" t="s">
        <v>242</v>
      </c>
      <c r="B10" s="9" t="s">
        <v>157</v>
      </c>
      <c r="C10" s="9">
        <v>2026</v>
      </c>
      <c r="D10" s="9" t="s">
        <v>236</v>
      </c>
      <c r="E10" s="9">
        <v>1.02</v>
      </c>
      <c r="F10" s="9" t="s">
        <v>243</v>
      </c>
      <c r="G10" s="9" t="s">
        <v>226</v>
      </c>
    </row>
    <row r="11" spans="1:7" x14ac:dyDescent="0.25">
      <c r="A11" s="9" t="s">
        <v>244</v>
      </c>
      <c r="B11" s="9" t="s">
        <v>160</v>
      </c>
      <c r="C11" s="9">
        <v>2022</v>
      </c>
      <c r="D11" s="9" t="s">
        <v>236</v>
      </c>
      <c r="E11" s="9">
        <v>1.71</v>
      </c>
      <c r="F11" s="9" t="s">
        <v>245</v>
      </c>
      <c r="G11" s="9" t="s">
        <v>226</v>
      </c>
    </row>
    <row r="12" spans="1:7" x14ac:dyDescent="0.25">
      <c r="A12" s="9" t="s">
        <v>246</v>
      </c>
      <c r="B12" s="9" t="s">
        <v>160</v>
      </c>
      <c r="C12" s="9">
        <v>2023</v>
      </c>
      <c r="D12" s="9" t="s">
        <v>236</v>
      </c>
      <c r="E12" s="9">
        <v>1.71</v>
      </c>
      <c r="F12" s="9" t="s">
        <v>247</v>
      </c>
      <c r="G12" s="9" t="s">
        <v>226</v>
      </c>
    </row>
    <row r="13" spans="1:7" x14ac:dyDescent="0.25">
      <c r="A13" s="9" t="s">
        <v>248</v>
      </c>
      <c r="B13" s="9" t="s">
        <v>160</v>
      </c>
      <c r="C13" s="9">
        <v>2024</v>
      </c>
      <c r="D13" s="9" t="s">
        <v>236</v>
      </c>
      <c r="E13" s="9">
        <v>1.67</v>
      </c>
      <c r="F13" s="9" t="s">
        <v>249</v>
      </c>
      <c r="G13" s="9" t="s">
        <v>226</v>
      </c>
    </row>
    <row r="14" spans="1:7" x14ac:dyDescent="0.25">
      <c r="A14" s="9" t="s">
        <v>250</v>
      </c>
      <c r="B14" s="9" t="s">
        <v>160</v>
      </c>
      <c r="C14" s="9">
        <v>2025</v>
      </c>
      <c r="D14" s="9" t="s">
        <v>236</v>
      </c>
      <c r="E14" s="9">
        <v>1.67</v>
      </c>
      <c r="F14" s="9" t="s">
        <v>251</v>
      </c>
      <c r="G14" s="9" t="s">
        <v>226</v>
      </c>
    </row>
    <row r="15" spans="1:7" x14ac:dyDescent="0.25">
      <c r="A15" s="9" t="s">
        <v>252</v>
      </c>
      <c r="B15" s="9" t="s">
        <v>160</v>
      </c>
      <c r="C15" s="9">
        <v>2026</v>
      </c>
      <c r="D15" s="9" t="s">
        <v>236</v>
      </c>
      <c r="E15" s="9">
        <v>1.64</v>
      </c>
      <c r="F15" s="9" t="s">
        <v>253</v>
      </c>
      <c r="G15" s="9" t="s">
        <v>226</v>
      </c>
    </row>
    <row r="16" spans="1:7" x14ac:dyDescent="0.25">
      <c r="A16" s="9" t="s">
        <v>254</v>
      </c>
      <c r="B16" s="9" t="s">
        <v>163</v>
      </c>
      <c r="C16" s="9">
        <v>2022</v>
      </c>
      <c r="D16" s="9" t="s">
        <v>255</v>
      </c>
      <c r="E16" s="9">
        <v>1.51</v>
      </c>
      <c r="F16" s="9" t="s">
        <v>256</v>
      </c>
      <c r="G16" s="9" t="s">
        <v>226</v>
      </c>
    </row>
    <row r="17" spans="1:7" x14ac:dyDescent="0.25">
      <c r="A17" s="9" t="s">
        <v>257</v>
      </c>
      <c r="B17" s="9" t="s">
        <v>163</v>
      </c>
      <c r="C17" s="9">
        <v>2023</v>
      </c>
      <c r="D17" s="9" t="s">
        <v>255</v>
      </c>
      <c r="E17" s="9">
        <v>1.48</v>
      </c>
      <c r="F17" s="9" t="s">
        <v>258</v>
      </c>
      <c r="G17" s="9" t="s">
        <v>226</v>
      </c>
    </row>
    <row r="18" spans="1:7" x14ac:dyDescent="0.25">
      <c r="A18" s="9" t="s">
        <v>259</v>
      </c>
      <c r="B18" s="9" t="s">
        <v>163</v>
      </c>
      <c r="C18" s="9">
        <v>2024</v>
      </c>
      <c r="D18" s="9" t="s">
        <v>255</v>
      </c>
      <c r="E18" s="9">
        <v>1.41</v>
      </c>
      <c r="F18" s="9" t="s">
        <v>260</v>
      </c>
      <c r="G18" s="9" t="s">
        <v>226</v>
      </c>
    </row>
    <row r="19" spans="1:7" x14ac:dyDescent="0.25">
      <c r="A19" s="9" t="s">
        <v>261</v>
      </c>
      <c r="B19" s="9" t="s">
        <v>166</v>
      </c>
      <c r="C19" s="9">
        <v>2022</v>
      </c>
      <c r="D19" s="9" t="s">
        <v>224</v>
      </c>
      <c r="E19" s="9">
        <v>1.27</v>
      </c>
      <c r="F19" s="9" t="s">
        <v>262</v>
      </c>
      <c r="G19" s="9" t="s">
        <v>226</v>
      </c>
    </row>
    <row r="20" spans="1:7" x14ac:dyDescent="0.25">
      <c r="A20" s="9" t="s">
        <v>263</v>
      </c>
      <c r="B20" s="9" t="s">
        <v>166</v>
      </c>
      <c r="C20" s="9">
        <v>2023</v>
      </c>
      <c r="D20" s="9" t="s">
        <v>224</v>
      </c>
      <c r="E20" s="9">
        <v>1.1399999999999999</v>
      </c>
      <c r="F20" s="9" t="s">
        <v>264</v>
      </c>
      <c r="G20" s="9" t="s">
        <v>226</v>
      </c>
    </row>
    <row r="21" spans="1:7" x14ac:dyDescent="0.25">
      <c r="A21" s="9" t="s">
        <v>265</v>
      </c>
      <c r="B21" s="9" t="s">
        <v>166</v>
      </c>
      <c r="C21" s="9">
        <v>2024</v>
      </c>
      <c r="D21" s="9" t="s">
        <v>224</v>
      </c>
      <c r="E21" s="9">
        <v>1.1399999999999999</v>
      </c>
      <c r="F21" s="9" t="s">
        <v>266</v>
      </c>
      <c r="G21" s="9" t="s">
        <v>226</v>
      </c>
    </row>
    <row r="22" spans="1:7" x14ac:dyDescent="0.25">
      <c r="A22" s="9" t="s">
        <v>267</v>
      </c>
      <c r="B22" s="9" t="s">
        <v>169</v>
      </c>
      <c r="C22" s="9">
        <v>2022</v>
      </c>
      <c r="D22" s="9" t="s">
        <v>268</v>
      </c>
      <c r="E22" s="9">
        <v>0.97</v>
      </c>
      <c r="F22" s="9" t="s">
        <v>269</v>
      </c>
      <c r="G22" s="9" t="s">
        <v>226</v>
      </c>
    </row>
    <row r="23" spans="1:7" x14ac:dyDescent="0.25">
      <c r="A23" s="9" t="s">
        <v>270</v>
      </c>
      <c r="B23" s="9" t="s">
        <v>169</v>
      </c>
      <c r="C23" s="9">
        <v>2023</v>
      </c>
      <c r="D23" s="9" t="s">
        <v>268</v>
      </c>
      <c r="E23" s="9">
        <v>0.99</v>
      </c>
      <c r="F23" s="9" t="s">
        <v>271</v>
      </c>
      <c r="G23" s="9" t="s">
        <v>226</v>
      </c>
    </row>
    <row r="24" spans="1:7" x14ac:dyDescent="0.25">
      <c r="A24" s="9" t="s">
        <v>272</v>
      </c>
      <c r="B24" s="9" t="s">
        <v>169</v>
      </c>
      <c r="C24" s="9">
        <v>2024</v>
      </c>
      <c r="D24" s="9" t="s">
        <v>268</v>
      </c>
      <c r="E24" s="9">
        <v>0.89</v>
      </c>
      <c r="F24" s="9" t="s">
        <v>273</v>
      </c>
      <c r="G24" s="9" t="s">
        <v>226</v>
      </c>
    </row>
    <row r="25" spans="1:7" x14ac:dyDescent="0.25">
      <c r="A25" s="9" t="s">
        <v>274</v>
      </c>
      <c r="B25" s="9" t="s">
        <v>171</v>
      </c>
      <c r="C25" s="9">
        <v>2025</v>
      </c>
      <c r="D25" s="9" t="s">
        <v>236</v>
      </c>
      <c r="E25" s="9">
        <v>1.55</v>
      </c>
      <c r="F25" s="9" t="s">
        <v>275</v>
      </c>
      <c r="G25" s="9" t="s">
        <v>226</v>
      </c>
    </row>
    <row r="26" spans="1:7" x14ac:dyDescent="0.25">
      <c r="A26" s="9" t="s">
        <v>276</v>
      </c>
      <c r="B26" s="9" t="s">
        <v>171</v>
      </c>
      <c r="C26" s="9">
        <v>2026</v>
      </c>
      <c r="D26" s="9" t="s">
        <v>236</v>
      </c>
      <c r="E26" s="9">
        <v>1.59</v>
      </c>
      <c r="F26" s="9" t="s">
        <v>277</v>
      </c>
      <c r="G26" s="9" t="s">
        <v>226</v>
      </c>
    </row>
    <row r="27" spans="1:7" x14ac:dyDescent="0.25">
      <c r="A27" s="9" t="s">
        <v>278</v>
      </c>
      <c r="B27" s="9" t="s">
        <v>174</v>
      </c>
      <c r="C27" s="9">
        <v>2026</v>
      </c>
      <c r="D27" s="9" t="s">
        <v>236</v>
      </c>
      <c r="E27" s="9">
        <v>1.07</v>
      </c>
      <c r="F27" s="9" t="s">
        <v>279</v>
      </c>
      <c r="G27" s="9" t="s">
        <v>226</v>
      </c>
    </row>
    <row r="28" spans="1:7" x14ac:dyDescent="0.25">
      <c r="A28" s="9" t="s">
        <v>280</v>
      </c>
      <c r="B28" s="9" t="s">
        <v>176</v>
      </c>
      <c r="C28" s="9">
        <v>2026</v>
      </c>
      <c r="D28" s="9" t="s">
        <v>236</v>
      </c>
      <c r="E28" s="9">
        <v>0.78</v>
      </c>
      <c r="F28" s="9" t="s">
        <v>281</v>
      </c>
      <c r="G28" s="9" t="s">
        <v>226</v>
      </c>
    </row>
    <row r="29" spans="1:7" x14ac:dyDescent="0.25">
      <c r="A29" s="9" t="s">
        <v>282</v>
      </c>
      <c r="B29" s="9" t="s">
        <v>179</v>
      </c>
      <c r="C29" s="9">
        <v>2025</v>
      </c>
      <c r="D29" s="9" t="s">
        <v>224</v>
      </c>
      <c r="E29" s="9">
        <v>1.73</v>
      </c>
      <c r="F29" s="9" t="s">
        <v>283</v>
      </c>
      <c r="G29" s="9" t="s">
        <v>226</v>
      </c>
    </row>
    <row r="30" spans="1:7" x14ac:dyDescent="0.25">
      <c r="A30" s="9" t="s">
        <v>284</v>
      </c>
      <c r="B30" s="9" t="s">
        <v>179</v>
      </c>
      <c r="C30" s="9">
        <v>2026</v>
      </c>
      <c r="D30" s="9" t="s">
        <v>224</v>
      </c>
      <c r="E30" s="9">
        <v>1.78</v>
      </c>
      <c r="F30" s="9" t="s">
        <v>285</v>
      </c>
      <c r="G30" s="9" t="s">
        <v>226</v>
      </c>
    </row>
    <row r="31" spans="1:7" x14ac:dyDescent="0.25">
      <c r="A31" s="9" t="s">
        <v>286</v>
      </c>
      <c r="B31" s="9" t="s">
        <v>184</v>
      </c>
      <c r="C31" s="9">
        <v>2025</v>
      </c>
      <c r="D31" s="9" t="s">
        <v>255</v>
      </c>
      <c r="E31" s="9">
        <v>1.33</v>
      </c>
      <c r="F31" s="9" t="s">
        <v>287</v>
      </c>
      <c r="G31" s="9" t="s">
        <v>226</v>
      </c>
    </row>
    <row r="32" spans="1:7" x14ac:dyDescent="0.25">
      <c r="A32" s="9" t="s">
        <v>288</v>
      </c>
      <c r="B32" s="9" t="s">
        <v>184</v>
      </c>
      <c r="C32" s="9">
        <v>2026</v>
      </c>
      <c r="D32" s="9" t="s">
        <v>255</v>
      </c>
      <c r="E32" s="9">
        <v>1.38</v>
      </c>
      <c r="F32" s="9" t="s">
        <v>289</v>
      </c>
      <c r="G32" s="9" t="s">
        <v>226</v>
      </c>
    </row>
    <row r="33" spans="1:7" x14ac:dyDescent="0.25">
      <c r="A33" s="9" t="s">
        <v>290</v>
      </c>
      <c r="B33" s="9" t="s">
        <v>186</v>
      </c>
      <c r="C33" s="9">
        <v>2024</v>
      </c>
      <c r="D33" s="9" t="s">
        <v>236</v>
      </c>
      <c r="E33" s="9">
        <v>0.56000000000000005</v>
      </c>
      <c r="F33" s="9" t="s">
        <v>291</v>
      </c>
      <c r="G33" s="9" t="s">
        <v>226</v>
      </c>
    </row>
    <row r="34" spans="1:7" x14ac:dyDescent="0.25">
      <c r="A34" s="9" t="s">
        <v>292</v>
      </c>
      <c r="B34" s="9" t="s">
        <v>186</v>
      </c>
      <c r="C34" s="9">
        <v>2025</v>
      </c>
      <c r="D34" s="9" t="s">
        <v>236</v>
      </c>
      <c r="E34" s="9">
        <v>0.46</v>
      </c>
      <c r="F34" s="9" t="s">
        <v>293</v>
      </c>
      <c r="G34" s="9" t="s">
        <v>226</v>
      </c>
    </row>
    <row r="35" spans="1:7" x14ac:dyDescent="0.25">
      <c r="A35" s="9" t="s">
        <v>294</v>
      </c>
      <c r="B35" s="9" t="s">
        <v>191</v>
      </c>
      <c r="C35" s="9">
        <v>2025</v>
      </c>
      <c r="D35" s="9" t="s">
        <v>236</v>
      </c>
      <c r="E35" s="9">
        <v>1.45</v>
      </c>
      <c r="F35" s="9" t="s">
        <v>295</v>
      </c>
      <c r="G35" s="9" t="s">
        <v>226</v>
      </c>
    </row>
    <row r="36" spans="1:7" x14ac:dyDescent="0.25">
      <c r="A36" s="9" t="s">
        <v>296</v>
      </c>
      <c r="B36" s="9" t="s">
        <v>196</v>
      </c>
      <c r="C36" s="9">
        <v>2022</v>
      </c>
      <c r="D36" s="9" t="s">
        <v>236</v>
      </c>
      <c r="E36" s="9">
        <v>1.53</v>
      </c>
      <c r="F36" s="9" t="s">
        <v>297</v>
      </c>
      <c r="G36" s="9" t="s">
        <v>226</v>
      </c>
    </row>
    <row r="37" spans="1:7" x14ac:dyDescent="0.25">
      <c r="A37" s="9" t="s">
        <v>298</v>
      </c>
      <c r="B37" s="9" t="s">
        <v>199</v>
      </c>
      <c r="C37" s="9">
        <v>2023</v>
      </c>
      <c r="D37" s="9" t="s">
        <v>268</v>
      </c>
      <c r="E37" s="9">
        <v>0.63</v>
      </c>
      <c r="F37" s="9" t="s">
        <v>299</v>
      </c>
      <c r="G37" s="9" t="s">
        <v>226</v>
      </c>
    </row>
    <row r="38" spans="1:7" x14ac:dyDescent="0.25">
      <c r="A38" s="9" t="s">
        <v>300</v>
      </c>
      <c r="B38" s="9" t="s">
        <v>204</v>
      </c>
      <c r="C38" s="9">
        <v>2022</v>
      </c>
      <c r="D38" s="9" t="s">
        <v>301</v>
      </c>
      <c r="E38" s="9">
        <v>0.42</v>
      </c>
      <c r="F38" s="9" t="s">
        <v>302</v>
      </c>
      <c r="G38" s="9" t="s">
        <v>226</v>
      </c>
    </row>
    <row r="39" spans="1:7" x14ac:dyDescent="0.25">
      <c r="A39" s="9" t="s">
        <v>303</v>
      </c>
      <c r="B39" s="9" t="s">
        <v>210</v>
      </c>
      <c r="C39" s="9">
        <v>2017</v>
      </c>
      <c r="D39" s="9" t="s">
        <v>236</v>
      </c>
      <c r="E39" s="9">
        <v>0.78</v>
      </c>
      <c r="F39" s="9" t="s">
        <v>304</v>
      </c>
      <c r="G39" s="9" t="s">
        <v>226</v>
      </c>
    </row>
    <row r="40" spans="1:7" x14ac:dyDescent="0.25">
      <c r="A40" s="9" t="s">
        <v>305</v>
      </c>
      <c r="B40" s="9" t="s">
        <v>210</v>
      </c>
      <c r="C40" s="9">
        <v>2018</v>
      </c>
      <c r="D40" s="9" t="s">
        <v>236</v>
      </c>
      <c r="E40" s="9">
        <v>0.8</v>
      </c>
      <c r="F40" s="9" t="s">
        <v>306</v>
      </c>
      <c r="G40" s="9" t="s">
        <v>226</v>
      </c>
    </row>
    <row r="41" spans="1:7" x14ac:dyDescent="0.25">
      <c r="A41" s="9" t="s">
        <v>307</v>
      </c>
      <c r="B41" s="9" t="s">
        <v>210</v>
      </c>
      <c r="C41" s="9">
        <v>2019</v>
      </c>
      <c r="D41" s="9" t="s">
        <v>236</v>
      </c>
      <c r="E41" s="9">
        <v>0.81</v>
      </c>
      <c r="F41" s="9" t="s">
        <v>308</v>
      </c>
      <c r="G41" s="9" t="s">
        <v>226</v>
      </c>
    </row>
    <row r="42" spans="1:7" x14ac:dyDescent="0.25">
      <c r="A42" s="9" t="s">
        <v>309</v>
      </c>
      <c r="B42" s="9" t="s">
        <v>212</v>
      </c>
      <c r="C42" s="9">
        <v>2015</v>
      </c>
      <c r="D42" s="9" t="s">
        <v>224</v>
      </c>
      <c r="E42" s="9">
        <v>0.88</v>
      </c>
      <c r="F42" s="9" t="s">
        <v>310</v>
      </c>
      <c r="G42" s="9" t="s">
        <v>226</v>
      </c>
    </row>
    <row r="43" spans="1:7" x14ac:dyDescent="0.25">
      <c r="A43" s="9" t="s">
        <v>311</v>
      </c>
      <c r="B43" s="9" t="s">
        <v>212</v>
      </c>
      <c r="C43" s="9">
        <v>2016</v>
      </c>
      <c r="D43" s="9" t="s">
        <v>224</v>
      </c>
      <c r="E43" s="9">
        <v>0.93</v>
      </c>
      <c r="F43" s="9" t="s">
        <v>312</v>
      </c>
      <c r="G43" s="9" t="s">
        <v>226</v>
      </c>
    </row>
    <row r="44" spans="1:7" x14ac:dyDescent="0.25">
      <c r="A44" s="9" t="s">
        <v>313</v>
      </c>
      <c r="B44" s="9" t="s">
        <v>212</v>
      </c>
      <c r="C44" s="9">
        <v>2017</v>
      </c>
      <c r="D44" s="9" t="s">
        <v>224</v>
      </c>
      <c r="E44" s="9">
        <v>0.93</v>
      </c>
      <c r="F44" s="9" t="s">
        <v>314</v>
      </c>
      <c r="G44" s="9" t="s">
        <v>226</v>
      </c>
    </row>
    <row r="45" spans="1:7" x14ac:dyDescent="0.25">
      <c r="A45" s="9" t="s">
        <v>315</v>
      </c>
      <c r="B45" s="9" t="s">
        <v>212</v>
      </c>
      <c r="C45" s="9">
        <v>2018</v>
      </c>
      <c r="D45" s="9" t="s">
        <v>224</v>
      </c>
      <c r="E45" s="9">
        <v>0.86</v>
      </c>
      <c r="F45" s="9" t="s">
        <v>316</v>
      </c>
      <c r="G45" s="9" t="s">
        <v>226</v>
      </c>
    </row>
    <row r="46" spans="1:7" x14ac:dyDescent="0.25">
      <c r="A46" s="9" t="s">
        <v>317</v>
      </c>
      <c r="B46" s="9" t="s">
        <v>215</v>
      </c>
      <c r="C46" s="9">
        <v>2017</v>
      </c>
      <c r="D46" s="9" t="s">
        <v>268</v>
      </c>
      <c r="E46" s="9">
        <v>0.75</v>
      </c>
      <c r="F46" s="9" t="s">
        <v>318</v>
      </c>
      <c r="G46" s="9" t="s">
        <v>226</v>
      </c>
    </row>
    <row r="47" spans="1:7" x14ac:dyDescent="0.25">
      <c r="A47" s="9" t="s">
        <v>319</v>
      </c>
      <c r="B47" s="9" t="s">
        <v>215</v>
      </c>
      <c r="C47" s="9">
        <v>2018</v>
      </c>
      <c r="D47" s="9" t="s">
        <v>268</v>
      </c>
      <c r="E47" s="9">
        <v>0.66</v>
      </c>
      <c r="F47" s="9" t="s">
        <v>320</v>
      </c>
      <c r="G47" s="9" t="s">
        <v>226</v>
      </c>
    </row>
    <row r="48" spans="1:7" x14ac:dyDescent="0.25">
      <c r="A48" s="9" t="s">
        <v>321</v>
      </c>
      <c r="B48" s="9" t="s">
        <v>215</v>
      </c>
      <c r="C48" s="9">
        <v>2019</v>
      </c>
      <c r="D48" s="9" t="s">
        <v>268</v>
      </c>
      <c r="E48" s="9">
        <v>0.77</v>
      </c>
      <c r="F48" s="9" t="s">
        <v>322</v>
      </c>
      <c r="G48" s="9" t="s">
        <v>226</v>
      </c>
    </row>
    <row r="49" spans="1:7" x14ac:dyDescent="0.25">
      <c r="A49" s="9" t="s">
        <v>323</v>
      </c>
      <c r="B49" s="9"/>
      <c r="C49" s="9">
        <v>2024</v>
      </c>
      <c r="D49" s="9" t="s">
        <v>236</v>
      </c>
      <c r="E49" s="9">
        <v>0.31</v>
      </c>
      <c r="F49" s="9" t="s">
        <v>324</v>
      </c>
      <c r="G49" s="9" t="s">
        <v>325</v>
      </c>
    </row>
    <row r="50" spans="1:7" x14ac:dyDescent="0.25">
      <c r="A50" s="9" t="s">
        <v>326</v>
      </c>
      <c r="B50" s="9"/>
      <c r="C50" s="9">
        <v>2025</v>
      </c>
      <c r="D50" s="9" t="s">
        <v>236</v>
      </c>
      <c r="E50" s="9">
        <v>0.37</v>
      </c>
      <c r="F50" s="9" t="s">
        <v>327</v>
      </c>
      <c r="G50" s="9" t="s">
        <v>325</v>
      </c>
    </row>
    <row r="51" spans="1:7" x14ac:dyDescent="0.25">
      <c r="A51" s="9" t="s">
        <v>328</v>
      </c>
      <c r="B51" s="9"/>
      <c r="C51" s="9">
        <v>2025</v>
      </c>
      <c r="D51" s="9" t="s">
        <v>236</v>
      </c>
      <c r="E51" s="9">
        <v>0.28999999999999998</v>
      </c>
      <c r="F51" s="9" t="s">
        <v>327</v>
      </c>
      <c r="G51" s="9" t="s">
        <v>325</v>
      </c>
    </row>
    <row r="52" spans="1:7" x14ac:dyDescent="0.25">
      <c r="A52" s="9" t="s">
        <v>329</v>
      </c>
      <c r="B52" s="9"/>
      <c r="C52" s="9">
        <v>2023</v>
      </c>
      <c r="D52" s="9" t="s">
        <v>236</v>
      </c>
      <c r="E52" s="9">
        <v>0.32</v>
      </c>
      <c r="F52" s="9" t="s">
        <v>330</v>
      </c>
      <c r="G52" s="9" t="s">
        <v>325</v>
      </c>
    </row>
    <row r="53" spans="1:7" x14ac:dyDescent="0.25">
      <c r="A53" s="9" t="s">
        <v>331</v>
      </c>
      <c r="B53" s="9"/>
      <c r="C53" s="9">
        <v>2026</v>
      </c>
      <c r="D53" s="9" t="s">
        <v>236</v>
      </c>
      <c r="E53" s="9">
        <v>0.41</v>
      </c>
      <c r="F53" s="9" t="s">
        <v>332</v>
      </c>
      <c r="G53" s="9" t="s">
        <v>325</v>
      </c>
    </row>
    <row r="54" spans="1:7" x14ac:dyDescent="0.25">
      <c r="A54" s="9" t="s">
        <v>333</v>
      </c>
      <c r="B54" s="9"/>
      <c r="C54" s="9">
        <v>2026</v>
      </c>
      <c r="D54" s="9" t="s">
        <v>236</v>
      </c>
      <c r="E54" s="9">
        <v>0.38</v>
      </c>
      <c r="F54" s="9" t="s">
        <v>332</v>
      </c>
      <c r="G54" s="9" t="s">
        <v>325</v>
      </c>
    </row>
    <row r="55" spans="1:7" x14ac:dyDescent="0.25">
      <c r="A55" s="9" t="s">
        <v>334</v>
      </c>
      <c r="B55" s="9"/>
      <c r="C55" s="9">
        <v>2026</v>
      </c>
      <c r="D55" s="9" t="s">
        <v>236</v>
      </c>
      <c r="E55" s="9">
        <v>0.37</v>
      </c>
      <c r="F55" s="9" t="s">
        <v>332</v>
      </c>
      <c r="G55" s="9" t="s">
        <v>325</v>
      </c>
    </row>
    <row r="56" spans="1:7" x14ac:dyDescent="0.25">
      <c r="A56" s="9" t="s">
        <v>335</v>
      </c>
      <c r="B56" s="9"/>
      <c r="C56" s="9">
        <v>2023</v>
      </c>
      <c r="D56" s="9" t="s">
        <v>236</v>
      </c>
      <c r="E56" s="9">
        <v>0.55000000000000004</v>
      </c>
      <c r="F56" s="9" t="s">
        <v>330</v>
      </c>
      <c r="G56" s="9" t="s">
        <v>325</v>
      </c>
    </row>
    <row r="57" spans="1:7" x14ac:dyDescent="0.25">
      <c r="A57" s="9" t="s">
        <v>336</v>
      </c>
      <c r="B57" s="9"/>
      <c r="C57" s="9">
        <v>2023</v>
      </c>
      <c r="D57" s="9" t="s">
        <v>236</v>
      </c>
      <c r="E57" s="9">
        <v>0.4</v>
      </c>
      <c r="F57" s="9" t="s">
        <v>330</v>
      </c>
      <c r="G57" s="9" t="s">
        <v>325</v>
      </c>
    </row>
    <row r="58" spans="1:7" x14ac:dyDescent="0.25">
      <c r="A58" s="9" t="s">
        <v>337</v>
      </c>
      <c r="B58" s="9"/>
      <c r="C58" s="9">
        <v>2022</v>
      </c>
      <c r="D58" s="9" t="s">
        <v>224</v>
      </c>
      <c r="E58" s="9">
        <v>1.37</v>
      </c>
      <c r="F58" s="9" t="s">
        <v>338</v>
      </c>
      <c r="G58" s="9" t="s">
        <v>325</v>
      </c>
    </row>
    <row r="59" spans="1:7" x14ac:dyDescent="0.25">
      <c r="A59" s="9" t="s">
        <v>339</v>
      </c>
      <c r="B59" s="9"/>
      <c r="C59" s="9">
        <v>2025</v>
      </c>
      <c r="D59" s="9" t="s">
        <v>236</v>
      </c>
      <c r="E59" s="9">
        <v>0.95</v>
      </c>
      <c r="F59" s="9" t="s">
        <v>340</v>
      </c>
      <c r="G59" s="9" t="s">
        <v>325</v>
      </c>
    </row>
    <row r="60" spans="1:7" x14ac:dyDescent="0.25">
      <c r="A60" s="9" t="s">
        <v>341</v>
      </c>
      <c r="B60" s="9"/>
      <c r="C60" s="9">
        <v>2026</v>
      </c>
      <c r="D60" s="9" t="s">
        <v>301</v>
      </c>
      <c r="E60" s="9">
        <v>0.73</v>
      </c>
      <c r="F60" s="9" t="s">
        <v>342</v>
      </c>
      <c r="G60" s="9" t="s">
        <v>325</v>
      </c>
    </row>
    <row r="61" spans="1:7" x14ac:dyDescent="0.25">
      <c r="A61" s="9" t="s">
        <v>343</v>
      </c>
      <c r="B61" s="9"/>
      <c r="C61" s="9">
        <v>2026</v>
      </c>
      <c r="D61" s="9" t="s">
        <v>236</v>
      </c>
      <c r="E61" s="9">
        <v>1.46</v>
      </c>
      <c r="F61" s="9" t="s">
        <v>342</v>
      </c>
      <c r="G61" s="9" t="s">
        <v>325</v>
      </c>
    </row>
    <row r="62" spans="1:7" x14ac:dyDescent="0.25">
      <c r="A62" s="9" t="s">
        <v>344</v>
      </c>
      <c r="B62" s="9"/>
      <c r="C62" s="9">
        <v>2026</v>
      </c>
      <c r="D62" s="9" t="s">
        <v>255</v>
      </c>
      <c r="E62" s="9">
        <v>0.49</v>
      </c>
      <c r="F62" s="9" t="s">
        <v>345</v>
      </c>
      <c r="G62" s="9" t="s">
        <v>325</v>
      </c>
    </row>
    <row r="63" spans="1:7" x14ac:dyDescent="0.25">
      <c r="A63" s="9" t="s">
        <v>346</v>
      </c>
      <c r="B63" s="9"/>
      <c r="C63" s="9">
        <v>2023</v>
      </c>
      <c r="D63" s="9" t="s">
        <v>236</v>
      </c>
      <c r="E63" s="9">
        <v>1.92</v>
      </c>
      <c r="F63" s="9" t="s">
        <v>347</v>
      </c>
      <c r="G63" s="9" t="s">
        <v>325</v>
      </c>
    </row>
    <row r="64" spans="1:7" x14ac:dyDescent="0.25">
      <c r="A64" s="9" t="s">
        <v>348</v>
      </c>
      <c r="B64" s="9"/>
      <c r="C64" s="9">
        <v>2024</v>
      </c>
      <c r="D64" s="9" t="s">
        <v>224</v>
      </c>
      <c r="E64" s="9">
        <v>1.1599999999999999</v>
      </c>
      <c r="F64" s="9" t="s">
        <v>349</v>
      </c>
      <c r="G64" s="9" t="s">
        <v>325</v>
      </c>
    </row>
    <row r="65" spans="1:7" x14ac:dyDescent="0.25">
      <c r="A65" s="9" t="s">
        <v>350</v>
      </c>
      <c r="B65" s="9"/>
      <c r="C65" s="9">
        <v>2024</v>
      </c>
      <c r="D65" s="9" t="s">
        <v>301</v>
      </c>
      <c r="E65" s="9">
        <v>1.34</v>
      </c>
      <c r="F65" s="9" t="s">
        <v>351</v>
      </c>
      <c r="G65" s="9" t="s">
        <v>325</v>
      </c>
    </row>
    <row r="66" spans="1:7" x14ac:dyDescent="0.25">
      <c r="A66" s="9" t="s">
        <v>352</v>
      </c>
      <c r="B66" s="9"/>
      <c r="C66" s="9">
        <v>2024</v>
      </c>
      <c r="D66" s="9" t="s">
        <v>301</v>
      </c>
      <c r="E66" s="9">
        <v>1.92</v>
      </c>
      <c r="F66" s="9" t="s">
        <v>353</v>
      </c>
      <c r="G66" s="9" t="s">
        <v>325</v>
      </c>
    </row>
    <row r="67" spans="1:7" x14ac:dyDescent="0.25">
      <c r="A67" s="9" t="s">
        <v>354</v>
      </c>
      <c r="B67" s="9"/>
      <c r="C67" s="9">
        <v>2022</v>
      </c>
      <c r="D67" s="9" t="s">
        <v>236</v>
      </c>
      <c r="E67" s="9">
        <v>1.1299999999999999</v>
      </c>
      <c r="F67" s="9" t="s">
        <v>355</v>
      </c>
      <c r="G67" s="9" t="s">
        <v>325</v>
      </c>
    </row>
    <row r="68" spans="1:7" x14ac:dyDescent="0.25">
      <c r="A68" s="9" t="s">
        <v>356</v>
      </c>
      <c r="B68" s="9"/>
      <c r="C68" s="9">
        <v>2022</v>
      </c>
      <c r="D68" s="9" t="s">
        <v>255</v>
      </c>
      <c r="E68" s="9">
        <v>0.71</v>
      </c>
      <c r="F68" s="9" t="s">
        <v>355</v>
      </c>
      <c r="G68" s="9" t="s">
        <v>325</v>
      </c>
    </row>
    <row r="69" spans="1:7" x14ac:dyDescent="0.25">
      <c r="A69" s="9" t="s">
        <v>357</v>
      </c>
      <c r="B69" s="9"/>
      <c r="C69" s="9">
        <v>2023</v>
      </c>
      <c r="D69" s="9" t="s">
        <v>236</v>
      </c>
      <c r="E69" s="9">
        <v>0.45</v>
      </c>
      <c r="F69" s="9" t="s">
        <v>358</v>
      </c>
      <c r="G69" s="9" t="s">
        <v>325</v>
      </c>
    </row>
    <row r="70" spans="1:7" x14ac:dyDescent="0.25">
      <c r="A70" s="9" t="s">
        <v>359</v>
      </c>
      <c r="B70" s="9"/>
      <c r="C70" s="9">
        <v>2022</v>
      </c>
      <c r="D70" s="9" t="s">
        <v>301</v>
      </c>
      <c r="E70" s="9">
        <v>1.6</v>
      </c>
      <c r="F70" s="9" t="s">
        <v>360</v>
      </c>
      <c r="G70" s="9" t="s">
        <v>325</v>
      </c>
    </row>
    <row r="71" spans="1:7" x14ac:dyDescent="0.25">
      <c r="A71" s="9" t="s">
        <v>361</v>
      </c>
      <c r="B71" s="9"/>
      <c r="C71" s="9">
        <v>2023</v>
      </c>
      <c r="D71" s="9" t="s">
        <v>236</v>
      </c>
      <c r="E71" s="9">
        <v>1.91</v>
      </c>
      <c r="F71" s="9" t="s">
        <v>362</v>
      </c>
      <c r="G71" s="9" t="s">
        <v>325</v>
      </c>
    </row>
    <row r="72" spans="1:7" x14ac:dyDescent="0.25">
      <c r="A72" s="9" t="s">
        <v>363</v>
      </c>
      <c r="B72" s="9"/>
      <c r="C72" s="9">
        <v>2024</v>
      </c>
      <c r="D72" s="9" t="s">
        <v>236</v>
      </c>
      <c r="E72" s="9">
        <v>1.33</v>
      </c>
      <c r="F72" s="9" t="s">
        <v>364</v>
      </c>
      <c r="G72" s="9" t="s">
        <v>325</v>
      </c>
    </row>
    <row r="73" spans="1:7" x14ac:dyDescent="0.25">
      <c r="A73" s="9" t="s">
        <v>365</v>
      </c>
      <c r="B73" s="9"/>
      <c r="C73" s="9">
        <v>2026</v>
      </c>
      <c r="D73" s="9" t="s">
        <v>224</v>
      </c>
      <c r="E73" s="9">
        <v>1.51</v>
      </c>
      <c r="F73" s="9" t="s">
        <v>366</v>
      </c>
      <c r="G73" s="9" t="s">
        <v>325</v>
      </c>
    </row>
    <row r="74" spans="1:7" x14ac:dyDescent="0.25">
      <c r="A74" s="9" t="s">
        <v>367</v>
      </c>
      <c r="B74" s="9"/>
      <c r="C74" s="9">
        <v>2024</v>
      </c>
      <c r="D74" s="9" t="s">
        <v>236</v>
      </c>
      <c r="E74" s="9">
        <v>1.18</v>
      </c>
      <c r="F74" s="9" t="s">
        <v>368</v>
      </c>
      <c r="G74" s="9" t="s">
        <v>325</v>
      </c>
    </row>
    <row r="75" spans="1:7" x14ac:dyDescent="0.25">
      <c r="A75" s="9" t="s">
        <v>369</v>
      </c>
      <c r="B75" s="9"/>
      <c r="C75" s="9">
        <v>2022</v>
      </c>
      <c r="D75" s="9" t="s">
        <v>236</v>
      </c>
      <c r="E75" s="9">
        <v>0.41</v>
      </c>
      <c r="F75" s="9" t="s">
        <v>370</v>
      </c>
      <c r="G75" s="9" t="s">
        <v>325</v>
      </c>
    </row>
    <row r="76" spans="1:7" x14ac:dyDescent="0.25">
      <c r="A76" s="9" t="s">
        <v>371</v>
      </c>
      <c r="B76" s="9"/>
      <c r="C76" s="9">
        <v>2026</v>
      </c>
      <c r="D76" s="9" t="s">
        <v>236</v>
      </c>
      <c r="E76" s="9">
        <v>1.3</v>
      </c>
      <c r="F76" s="9" t="s">
        <v>372</v>
      </c>
      <c r="G76" s="9" t="s">
        <v>325</v>
      </c>
    </row>
    <row r="77" spans="1:7" x14ac:dyDescent="0.25">
      <c r="A77" s="9" t="s">
        <v>373</v>
      </c>
      <c r="B77" s="9"/>
      <c r="C77" s="9">
        <v>2022</v>
      </c>
      <c r="D77" s="9" t="s">
        <v>236</v>
      </c>
      <c r="E77" s="9">
        <v>0.4</v>
      </c>
      <c r="F77" s="9" t="s">
        <v>374</v>
      </c>
      <c r="G77" s="9" t="s">
        <v>325</v>
      </c>
    </row>
    <row r="78" spans="1:7" x14ac:dyDescent="0.25">
      <c r="A78" s="9" t="s">
        <v>375</v>
      </c>
      <c r="B78" s="9"/>
      <c r="C78" s="9">
        <v>2022</v>
      </c>
      <c r="D78" s="9" t="s">
        <v>236</v>
      </c>
      <c r="E78" s="9">
        <v>1.17</v>
      </c>
      <c r="F78" s="9" t="s">
        <v>376</v>
      </c>
      <c r="G78" s="9" t="s">
        <v>325</v>
      </c>
    </row>
    <row r="79" spans="1:7" x14ac:dyDescent="0.25">
      <c r="A79" s="9" t="s">
        <v>377</v>
      </c>
      <c r="B79" s="9"/>
      <c r="C79" s="9">
        <v>2025</v>
      </c>
      <c r="D79" s="9" t="s">
        <v>236</v>
      </c>
      <c r="E79" s="9">
        <v>0.52</v>
      </c>
      <c r="F79" s="9" t="s">
        <v>378</v>
      </c>
      <c r="G79" s="9" t="s">
        <v>325</v>
      </c>
    </row>
    <row r="80" spans="1:7" x14ac:dyDescent="0.25">
      <c r="A80" s="9" t="s">
        <v>379</v>
      </c>
      <c r="B80" s="9"/>
      <c r="C80" s="9">
        <v>2026</v>
      </c>
      <c r="D80" s="9" t="s">
        <v>236</v>
      </c>
      <c r="E80" s="9">
        <v>0.71</v>
      </c>
      <c r="F80" s="9" t="s">
        <v>380</v>
      </c>
      <c r="G80" s="9" t="s">
        <v>325</v>
      </c>
    </row>
    <row r="81" spans="1:7" x14ac:dyDescent="0.25">
      <c r="A81" s="9" t="s">
        <v>381</v>
      </c>
      <c r="B81" s="9"/>
      <c r="C81" s="9">
        <v>2025</v>
      </c>
      <c r="D81" s="9" t="s">
        <v>236</v>
      </c>
      <c r="E81" s="9">
        <v>0.49</v>
      </c>
      <c r="F81" s="9" t="s">
        <v>382</v>
      </c>
      <c r="G81" s="9" t="s">
        <v>325</v>
      </c>
    </row>
    <row r="82" spans="1:7" x14ac:dyDescent="0.25">
      <c r="A82" s="9" t="s">
        <v>383</v>
      </c>
      <c r="B82" s="9"/>
      <c r="C82" s="9">
        <v>2023</v>
      </c>
      <c r="D82" s="9" t="s">
        <v>236</v>
      </c>
      <c r="E82" s="9">
        <v>0.28000000000000003</v>
      </c>
      <c r="F82" s="9" t="s">
        <v>384</v>
      </c>
      <c r="G82" s="9" t="s">
        <v>325</v>
      </c>
    </row>
    <row r="83" spans="1:7" x14ac:dyDescent="0.25">
      <c r="A83" s="9" t="s">
        <v>385</v>
      </c>
      <c r="B83" s="9"/>
      <c r="C83" s="9">
        <v>2025</v>
      </c>
      <c r="D83" s="9" t="s">
        <v>236</v>
      </c>
      <c r="E83" s="9">
        <v>0.36</v>
      </c>
      <c r="F83" s="9" t="s">
        <v>382</v>
      </c>
      <c r="G83" s="9" t="s">
        <v>325</v>
      </c>
    </row>
    <row r="84" spans="1:7" x14ac:dyDescent="0.25">
      <c r="A84" s="9" t="s">
        <v>386</v>
      </c>
      <c r="B84" s="9"/>
      <c r="C84" s="9">
        <v>2025</v>
      </c>
      <c r="D84" s="9" t="s">
        <v>236</v>
      </c>
      <c r="E84" s="9">
        <v>0.39</v>
      </c>
      <c r="F84" s="9" t="s">
        <v>382</v>
      </c>
      <c r="G84" s="9" t="s">
        <v>325</v>
      </c>
    </row>
    <row r="85" spans="1:7" x14ac:dyDescent="0.25">
      <c r="A85" s="9" t="s">
        <v>387</v>
      </c>
      <c r="B85" s="9"/>
      <c r="C85" s="9">
        <v>2022</v>
      </c>
      <c r="D85" s="9" t="s">
        <v>236</v>
      </c>
      <c r="E85" s="9">
        <v>0.45</v>
      </c>
      <c r="F85" s="9" t="s">
        <v>388</v>
      </c>
      <c r="G85" s="9" t="s">
        <v>325</v>
      </c>
    </row>
    <row r="86" spans="1:7" x14ac:dyDescent="0.25">
      <c r="A86" s="9" t="s">
        <v>389</v>
      </c>
      <c r="B86" s="9"/>
      <c r="C86" s="9">
        <v>2022</v>
      </c>
      <c r="D86" s="9" t="s">
        <v>236</v>
      </c>
      <c r="E86" s="9">
        <v>0.27</v>
      </c>
      <c r="F86" s="9" t="s">
        <v>388</v>
      </c>
      <c r="G86" s="9" t="s">
        <v>325</v>
      </c>
    </row>
    <row r="87" spans="1:7" x14ac:dyDescent="0.25">
      <c r="A87" s="9" t="s">
        <v>390</v>
      </c>
      <c r="B87" s="9"/>
      <c r="C87" s="9">
        <v>2024</v>
      </c>
      <c r="D87" s="9" t="s">
        <v>236</v>
      </c>
      <c r="E87" s="9">
        <v>0.49</v>
      </c>
      <c r="F87" s="9" t="s">
        <v>391</v>
      </c>
      <c r="G87" s="9" t="s">
        <v>325</v>
      </c>
    </row>
    <row r="88" spans="1:7" x14ac:dyDescent="0.25">
      <c r="A88" s="9" t="s">
        <v>392</v>
      </c>
      <c r="B88" s="9"/>
      <c r="C88" s="9">
        <v>2022</v>
      </c>
      <c r="D88" s="9" t="s">
        <v>236</v>
      </c>
      <c r="E88" s="9">
        <v>0.32</v>
      </c>
      <c r="F88" s="9" t="s">
        <v>388</v>
      </c>
      <c r="G88" s="9" t="s">
        <v>325</v>
      </c>
    </row>
    <row r="89" spans="1:7" x14ac:dyDescent="0.25">
      <c r="A89" s="9" t="s">
        <v>393</v>
      </c>
      <c r="B89" s="9"/>
      <c r="C89" s="9">
        <v>2023</v>
      </c>
      <c r="D89" s="9" t="s">
        <v>236</v>
      </c>
      <c r="E89" s="9">
        <v>0.41</v>
      </c>
      <c r="F89" s="9" t="s">
        <v>384</v>
      </c>
      <c r="G89" s="9" t="s">
        <v>325</v>
      </c>
    </row>
    <row r="90" spans="1:7" x14ac:dyDescent="0.25">
      <c r="A90" s="9" t="s">
        <v>394</v>
      </c>
      <c r="B90" s="9"/>
      <c r="C90" s="9">
        <v>2023</v>
      </c>
      <c r="D90" s="9" t="s">
        <v>236</v>
      </c>
      <c r="E90" s="9">
        <v>0.38</v>
      </c>
      <c r="F90" s="9" t="s">
        <v>384</v>
      </c>
      <c r="G90" s="9" t="s">
        <v>325</v>
      </c>
    </row>
    <row r="91" spans="1:7" x14ac:dyDescent="0.25">
      <c r="A91" s="9" t="s">
        <v>395</v>
      </c>
      <c r="B91" s="9"/>
      <c r="C91" s="9">
        <v>2025</v>
      </c>
      <c r="D91" s="9" t="s">
        <v>236</v>
      </c>
      <c r="E91" s="9">
        <v>1.87</v>
      </c>
      <c r="F91" s="9" t="s">
        <v>396</v>
      </c>
      <c r="G91" s="9" t="s">
        <v>325</v>
      </c>
    </row>
    <row r="92" spans="1:7" x14ac:dyDescent="0.25">
      <c r="A92" s="9" t="s">
        <v>397</v>
      </c>
      <c r="B92" s="9"/>
      <c r="C92" s="9">
        <v>2025</v>
      </c>
      <c r="D92" s="9" t="s">
        <v>301</v>
      </c>
      <c r="E92" s="9">
        <v>0.47</v>
      </c>
      <c r="F92" s="9" t="s">
        <v>396</v>
      </c>
      <c r="G92" s="9" t="s">
        <v>325</v>
      </c>
    </row>
    <row r="93" spans="1:7" x14ac:dyDescent="0.25">
      <c r="A93" s="9" t="s">
        <v>398</v>
      </c>
      <c r="B93" s="9"/>
      <c r="C93" s="9">
        <v>2026</v>
      </c>
      <c r="D93" s="9" t="s">
        <v>236</v>
      </c>
      <c r="E93" s="9">
        <v>1.87</v>
      </c>
      <c r="F93" s="9" t="s">
        <v>399</v>
      </c>
      <c r="G93" s="9" t="s">
        <v>325</v>
      </c>
    </row>
    <row r="94" spans="1:7" x14ac:dyDescent="0.25">
      <c r="A94" s="9" t="s">
        <v>400</v>
      </c>
      <c r="B94" s="9"/>
      <c r="C94" s="9">
        <v>2023</v>
      </c>
      <c r="D94" s="9" t="s">
        <v>236</v>
      </c>
      <c r="E94" s="9">
        <v>1.1299999999999999</v>
      </c>
      <c r="F94" s="9" t="s">
        <v>401</v>
      </c>
      <c r="G94" s="9" t="s">
        <v>325</v>
      </c>
    </row>
    <row r="95" spans="1:7" x14ac:dyDescent="0.25">
      <c r="A95" s="9" t="s">
        <v>402</v>
      </c>
      <c r="B95" s="9"/>
      <c r="C95" s="9">
        <v>2023</v>
      </c>
      <c r="D95" s="9" t="s">
        <v>236</v>
      </c>
      <c r="E95" s="9">
        <v>0.57999999999999996</v>
      </c>
      <c r="F95" s="9" t="s">
        <v>401</v>
      </c>
      <c r="G95" s="9" t="s">
        <v>325</v>
      </c>
    </row>
    <row r="96" spans="1:7" x14ac:dyDescent="0.25">
      <c r="A96" s="9" t="s">
        <v>403</v>
      </c>
      <c r="B96" s="9"/>
      <c r="C96" s="9">
        <v>2025</v>
      </c>
      <c r="D96" s="9" t="s">
        <v>236</v>
      </c>
      <c r="E96" s="9">
        <v>1.63</v>
      </c>
      <c r="F96" s="9" t="s">
        <v>404</v>
      </c>
      <c r="G96" s="9" t="s">
        <v>325</v>
      </c>
    </row>
    <row r="97" spans="1:7" x14ac:dyDescent="0.25">
      <c r="A97" s="9" t="s">
        <v>405</v>
      </c>
      <c r="B97" s="9"/>
      <c r="C97" s="9">
        <v>2024</v>
      </c>
      <c r="D97" s="9" t="s">
        <v>236</v>
      </c>
      <c r="E97" s="9">
        <v>1.93</v>
      </c>
      <c r="F97" s="9" t="s">
        <v>406</v>
      </c>
      <c r="G97" s="9" t="s">
        <v>325</v>
      </c>
    </row>
    <row r="98" spans="1:7" x14ac:dyDescent="0.25">
      <c r="A98" s="9" t="s">
        <v>407</v>
      </c>
      <c r="B98" s="9"/>
      <c r="C98" s="9">
        <v>2026</v>
      </c>
      <c r="D98" s="9" t="s">
        <v>236</v>
      </c>
      <c r="E98" s="9">
        <v>1.1299999999999999</v>
      </c>
      <c r="F98" s="9" t="s">
        <v>408</v>
      </c>
      <c r="G98" s="9" t="s">
        <v>325</v>
      </c>
    </row>
    <row r="99" spans="1:7" x14ac:dyDescent="0.25">
      <c r="A99" s="9" t="s">
        <v>409</v>
      </c>
      <c r="B99" s="9"/>
      <c r="C99" s="9">
        <v>2024</v>
      </c>
      <c r="D99" s="9" t="s">
        <v>236</v>
      </c>
      <c r="E99" s="9">
        <v>0.4</v>
      </c>
      <c r="F99" s="9" t="s">
        <v>410</v>
      </c>
      <c r="G99" s="9" t="s">
        <v>325</v>
      </c>
    </row>
    <row r="100" spans="1:7" x14ac:dyDescent="0.25">
      <c r="A100" s="9" t="s">
        <v>411</v>
      </c>
      <c r="B100" s="9"/>
      <c r="C100" s="9">
        <v>2026</v>
      </c>
      <c r="D100" s="9" t="s">
        <v>236</v>
      </c>
      <c r="E100" s="9">
        <v>0.83</v>
      </c>
      <c r="F100" s="9" t="s">
        <v>412</v>
      </c>
      <c r="G100" s="9" t="s">
        <v>325</v>
      </c>
    </row>
    <row r="101" spans="1:7" x14ac:dyDescent="0.25">
      <c r="A101" s="9" t="s">
        <v>413</v>
      </c>
      <c r="B101" s="9"/>
      <c r="C101" s="9">
        <v>2022</v>
      </c>
      <c r="D101" s="9" t="s">
        <v>236</v>
      </c>
      <c r="E101" s="9">
        <v>1.1499999999999999</v>
      </c>
      <c r="F101" s="9" t="s">
        <v>414</v>
      </c>
      <c r="G101" s="9" t="s">
        <v>325</v>
      </c>
    </row>
    <row r="102" spans="1:7" x14ac:dyDescent="0.25">
      <c r="A102" s="9" t="s">
        <v>415</v>
      </c>
      <c r="B102" s="9"/>
      <c r="C102" s="9">
        <v>2026</v>
      </c>
      <c r="D102" s="9" t="s">
        <v>236</v>
      </c>
      <c r="E102" s="9">
        <v>1.93</v>
      </c>
      <c r="F102" s="9" t="s">
        <v>412</v>
      </c>
      <c r="G102" s="9" t="s">
        <v>325</v>
      </c>
    </row>
    <row r="103" spans="1:7" x14ac:dyDescent="0.25">
      <c r="A103" s="9" t="s">
        <v>416</v>
      </c>
      <c r="B103" s="9"/>
      <c r="C103" s="9">
        <v>2023</v>
      </c>
      <c r="D103" s="9" t="s">
        <v>236</v>
      </c>
      <c r="E103" s="9">
        <v>0.42</v>
      </c>
      <c r="F103" s="9" t="s">
        <v>417</v>
      </c>
      <c r="G103" s="9" t="s">
        <v>325</v>
      </c>
    </row>
    <row r="104" spans="1:7" x14ac:dyDescent="0.25">
      <c r="A104" s="9" t="s">
        <v>418</v>
      </c>
      <c r="B104" s="9"/>
      <c r="C104" s="9">
        <v>2025</v>
      </c>
      <c r="D104" s="9" t="s">
        <v>236</v>
      </c>
      <c r="E104" s="9">
        <v>1.81</v>
      </c>
      <c r="F104" s="9" t="s">
        <v>419</v>
      </c>
      <c r="G104" s="9" t="s">
        <v>325</v>
      </c>
    </row>
    <row r="105" spans="1:7" x14ac:dyDescent="0.25">
      <c r="A105" s="9" t="s">
        <v>420</v>
      </c>
      <c r="B105" s="9"/>
      <c r="C105" s="9">
        <v>2026</v>
      </c>
      <c r="D105" s="9" t="s">
        <v>236</v>
      </c>
      <c r="E105" s="9">
        <v>1.35</v>
      </c>
      <c r="F105" s="9" t="s">
        <v>421</v>
      </c>
      <c r="G105" s="9" t="s">
        <v>325</v>
      </c>
    </row>
    <row r="106" spans="1:7" x14ac:dyDescent="0.25">
      <c r="A106" s="9" t="s">
        <v>422</v>
      </c>
      <c r="B106" s="9"/>
      <c r="C106" s="9">
        <v>2026</v>
      </c>
      <c r="D106" s="9" t="s">
        <v>236</v>
      </c>
      <c r="E106" s="9">
        <v>0.84</v>
      </c>
      <c r="F106" s="9" t="s">
        <v>423</v>
      </c>
      <c r="G106" s="9" t="s">
        <v>325</v>
      </c>
    </row>
    <row r="107" spans="1:7" x14ac:dyDescent="0.25">
      <c r="A107" s="9" t="s">
        <v>424</v>
      </c>
      <c r="B107" s="9"/>
      <c r="C107" s="9">
        <v>2024</v>
      </c>
      <c r="D107" s="9" t="s">
        <v>236</v>
      </c>
      <c r="E107" s="9">
        <v>1.52</v>
      </c>
      <c r="F107" s="9" t="s">
        <v>425</v>
      </c>
      <c r="G107" s="9" t="s">
        <v>325</v>
      </c>
    </row>
    <row r="108" spans="1:7" x14ac:dyDescent="0.25">
      <c r="A108" s="9" t="s">
        <v>426</v>
      </c>
      <c r="B108" s="9"/>
      <c r="C108" s="9">
        <v>2024</v>
      </c>
      <c r="D108" s="9" t="s">
        <v>236</v>
      </c>
      <c r="E108" s="9">
        <v>1.44</v>
      </c>
      <c r="F108" s="9" t="s">
        <v>427</v>
      </c>
      <c r="G108" s="9" t="s">
        <v>325</v>
      </c>
    </row>
    <row r="109" spans="1:7" x14ac:dyDescent="0.25">
      <c r="A109" s="9" t="s">
        <v>428</v>
      </c>
      <c r="B109" s="9"/>
      <c r="C109" s="9">
        <v>2025</v>
      </c>
      <c r="D109" s="9" t="s">
        <v>301</v>
      </c>
      <c r="E109" s="9">
        <v>1.58</v>
      </c>
      <c r="F109" s="9" t="s">
        <v>429</v>
      </c>
      <c r="G109" s="9" t="s">
        <v>325</v>
      </c>
    </row>
    <row r="110" spans="1:7" x14ac:dyDescent="0.25">
      <c r="A110" s="9" t="s">
        <v>430</v>
      </c>
      <c r="B110" s="9"/>
      <c r="C110" s="9">
        <v>2022</v>
      </c>
      <c r="D110" s="9" t="s">
        <v>301</v>
      </c>
      <c r="E110" s="9">
        <v>1.36</v>
      </c>
      <c r="F110" s="9" t="s">
        <v>431</v>
      </c>
      <c r="G110" s="9" t="s">
        <v>325</v>
      </c>
    </row>
    <row r="111" spans="1:7" x14ac:dyDescent="0.25">
      <c r="A111" s="9" t="s">
        <v>432</v>
      </c>
      <c r="B111" s="9"/>
      <c r="C111" s="9">
        <v>2022</v>
      </c>
      <c r="D111" s="9" t="s">
        <v>301</v>
      </c>
      <c r="E111" s="9">
        <v>0.66</v>
      </c>
      <c r="F111" s="9" t="s">
        <v>433</v>
      </c>
      <c r="G111" s="9" t="s">
        <v>325</v>
      </c>
    </row>
    <row r="112" spans="1:7" x14ac:dyDescent="0.25">
      <c r="A112" s="9" t="s">
        <v>434</v>
      </c>
      <c r="B112" s="9"/>
      <c r="C112" s="9">
        <v>2024</v>
      </c>
      <c r="D112" s="9" t="s">
        <v>301</v>
      </c>
      <c r="E112" s="9">
        <v>0.89</v>
      </c>
      <c r="F112" s="9" t="s">
        <v>435</v>
      </c>
      <c r="G112" s="9" t="s">
        <v>325</v>
      </c>
    </row>
    <row r="113" spans="1:7" x14ac:dyDescent="0.25">
      <c r="A113" s="9" t="s">
        <v>436</v>
      </c>
      <c r="B113" s="9"/>
      <c r="C113" s="9">
        <v>2022</v>
      </c>
      <c r="D113" s="9" t="s">
        <v>255</v>
      </c>
      <c r="E113" s="9">
        <v>0.78</v>
      </c>
      <c r="F113" s="9" t="s">
        <v>433</v>
      </c>
      <c r="G113" s="9" t="s">
        <v>325</v>
      </c>
    </row>
    <row r="114" spans="1:7" x14ac:dyDescent="0.25">
      <c r="A114" s="9" t="s">
        <v>437</v>
      </c>
      <c r="B114" s="9"/>
      <c r="C114" s="9">
        <v>2026</v>
      </c>
      <c r="D114" s="9" t="s">
        <v>301</v>
      </c>
      <c r="E114" s="9">
        <v>1.34</v>
      </c>
      <c r="F114" s="9" t="s">
        <v>438</v>
      </c>
      <c r="G114" s="9" t="s">
        <v>325</v>
      </c>
    </row>
    <row r="115" spans="1:7" x14ac:dyDescent="0.25">
      <c r="A115" s="9" t="s">
        <v>439</v>
      </c>
      <c r="B115" s="9"/>
      <c r="C115" s="9">
        <v>2026</v>
      </c>
      <c r="D115" s="9" t="s">
        <v>301</v>
      </c>
      <c r="E115" s="9">
        <v>1.69</v>
      </c>
      <c r="F115" s="9" t="s">
        <v>438</v>
      </c>
      <c r="G115" s="9" t="s">
        <v>325</v>
      </c>
    </row>
    <row r="116" spans="1:7" x14ac:dyDescent="0.25">
      <c r="A116" s="9" t="s">
        <v>440</v>
      </c>
      <c r="B116" s="9"/>
      <c r="C116" s="9">
        <v>2022</v>
      </c>
      <c r="D116" s="9" t="s">
        <v>224</v>
      </c>
      <c r="E116" s="9">
        <v>0.75</v>
      </c>
      <c r="F116" s="9" t="s">
        <v>441</v>
      </c>
      <c r="G116" s="9" t="s">
        <v>325</v>
      </c>
    </row>
    <row r="117" spans="1:7" x14ac:dyDescent="0.25">
      <c r="A117" s="9" t="s">
        <v>442</v>
      </c>
      <c r="B117" s="9"/>
      <c r="C117" s="9">
        <v>2022</v>
      </c>
      <c r="D117" s="9" t="s">
        <v>301</v>
      </c>
      <c r="E117" s="9">
        <v>0.56000000000000005</v>
      </c>
      <c r="F117" s="9" t="s">
        <v>441</v>
      </c>
      <c r="G117" s="9" t="s">
        <v>325</v>
      </c>
    </row>
    <row r="118" spans="1:7" x14ac:dyDescent="0.25">
      <c r="A118" s="9" t="s">
        <v>443</v>
      </c>
      <c r="B118" s="9"/>
      <c r="C118" s="9">
        <v>2026</v>
      </c>
      <c r="D118" s="9" t="s">
        <v>255</v>
      </c>
      <c r="E118" s="9">
        <v>0.88</v>
      </c>
      <c r="F118" s="9" t="s">
        <v>444</v>
      </c>
      <c r="G118" s="9" t="s">
        <v>325</v>
      </c>
    </row>
    <row r="119" spans="1:7" x14ac:dyDescent="0.25">
      <c r="A119" s="9" t="s">
        <v>445</v>
      </c>
      <c r="B119" s="9"/>
      <c r="C119" s="9">
        <v>2024</v>
      </c>
      <c r="D119" s="9" t="s">
        <v>255</v>
      </c>
      <c r="E119" s="9">
        <v>0.73</v>
      </c>
      <c r="F119" s="9" t="s">
        <v>446</v>
      </c>
      <c r="G119" s="9" t="s">
        <v>325</v>
      </c>
    </row>
    <row r="120" spans="1:7" x14ac:dyDescent="0.25">
      <c r="A120" s="9" t="s">
        <v>447</v>
      </c>
      <c r="B120" s="9"/>
      <c r="C120" s="9">
        <v>2022</v>
      </c>
      <c r="D120" s="9" t="s">
        <v>255</v>
      </c>
      <c r="E120" s="9">
        <v>1.71</v>
      </c>
      <c r="F120" s="9" t="s">
        <v>448</v>
      </c>
      <c r="G120" s="9" t="s">
        <v>325</v>
      </c>
    </row>
    <row r="121" spans="1:7" x14ac:dyDescent="0.25">
      <c r="A121" s="9" t="s">
        <v>449</v>
      </c>
      <c r="B121" s="9"/>
      <c r="C121" s="9">
        <v>2022</v>
      </c>
      <c r="D121" s="9" t="s">
        <v>255</v>
      </c>
      <c r="E121" s="9">
        <v>0.52</v>
      </c>
      <c r="F121" s="9" t="s">
        <v>450</v>
      </c>
      <c r="G121" s="9" t="s">
        <v>325</v>
      </c>
    </row>
    <row r="122" spans="1:7" x14ac:dyDescent="0.25">
      <c r="A122" s="9" t="s">
        <v>451</v>
      </c>
      <c r="B122" s="9"/>
      <c r="C122" s="9">
        <v>2023</v>
      </c>
      <c r="D122" s="9" t="s">
        <v>255</v>
      </c>
      <c r="E122" s="9">
        <v>1.24</v>
      </c>
      <c r="F122" s="9" t="s">
        <v>452</v>
      </c>
      <c r="G122" s="9" t="s">
        <v>325</v>
      </c>
    </row>
    <row r="123" spans="1:7" x14ac:dyDescent="0.25">
      <c r="A123" s="9" t="s">
        <v>453</v>
      </c>
      <c r="B123" s="9"/>
      <c r="C123" s="9">
        <v>2025</v>
      </c>
      <c r="D123" s="9" t="s">
        <v>255</v>
      </c>
      <c r="E123" s="9">
        <v>0.49</v>
      </c>
      <c r="F123" s="9" t="s">
        <v>454</v>
      </c>
      <c r="G123" s="9" t="s">
        <v>325</v>
      </c>
    </row>
    <row r="124" spans="1:7" x14ac:dyDescent="0.25">
      <c r="A124" s="9" t="s">
        <v>455</v>
      </c>
      <c r="B124" s="9"/>
      <c r="C124" s="9">
        <v>2023</v>
      </c>
      <c r="D124" s="9" t="s">
        <v>224</v>
      </c>
      <c r="E124" s="9">
        <v>1.72</v>
      </c>
      <c r="F124" s="9" t="s">
        <v>456</v>
      </c>
      <c r="G124" s="9" t="s">
        <v>325</v>
      </c>
    </row>
    <row r="125" spans="1:7" x14ac:dyDescent="0.25">
      <c r="A125" s="9" t="s">
        <v>457</v>
      </c>
      <c r="B125" s="9"/>
      <c r="C125" s="9">
        <v>2026</v>
      </c>
      <c r="D125" s="9" t="s">
        <v>224</v>
      </c>
      <c r="E125" s="9">
        <v>1.03</v>
      </c>
      <c r="F125" s="9" t="s">
        <v>458</v>
      </c>
      <c r="G125" s="9" t="s">
        <v>325</v>
      </c>
    </row>
    <row r="126" spans="1:7" x14ac:dyDescent="0.25">
      <c r="A126" s="9" t="s">
        <v>459</v>
      </c>
      <c r="B126" s="9"/>
      <c r="C126" s="9">
        <v>2022</v>
      </c>
      <c r="D126" s="9" t="s">
        <v>224</v>
      </c>
      <c r="E126" s="9">
        <v>1.83</v>
      </c>
      <c r="F126" s="9" t="s">
        <v>460</v>
      </c>
      <c r="G126" s="9" t="s">
        <v>325</v>
      </c>
    </row>
    <row r="127" spans="1:7" x14ac:dyDescent="0.25">
      <c r="A127" s="9" t="s">
        <v>461</v>
      </c>
      <c r="B127" s="9"/>
      <c r="C127" s="9">
        <v>2024</v>
      </c>
      <c r="D127" s="9" t="s">
        <v>224</v>
      </c>
      <c r="E127" s="9">
        <v>0.72</v>
      </c>
      <c r="F127" s="9" t="s">
        <v>462</v>
      </c>
      <c r="G127" s="9" t="s">
        <v>325</v>
      </c>
    </row>
    <row r="128" spans="1:7" x14ac:dyDescent="0.25">
      <c r="A128" s="9" t="s">
        <v>463</v>
      </c>
      <c r="B128" s="9"/>
      <c r="C128" s="9">
        <v>2024</v>
      </c>
      <c r="D128" s="9" t="s">
        <v>268</v>
      </c>
      <c r="E128" s="9">
        <v>1.96</v>
      </c>
      <c r="F128" s="9" t="s">
        <v>464</v>
      </c>
      <c r="G128" s="9" t="s">
        <v>325</v>
      </c>
    </row>
    <row r="129" spans="1:7" x14ac:dyDescent="0.25">
      <c r="A129" s="9" t="s">
        <v>465</v>
      </c>
      <c r="B129" s="9"/>
      <c r="C129" s="9">
        <v>2023</v>
      </c>
      <c r="D129" s="9" t="s">
        <v>224</v>
      </c>
      <c r="E129" s="9">
        <v>1.77</v>
      </c>
      <c r="F129" s="9" t="s">
        <v>466</v>
      </c>
      <c r="G129" s="9" t="s">
        <v>325</v>
      </c>
    </row>
    <row r="130" spans="1:7" x14ac:dyDescent="0.25">
      <c r="A130" s="9" t="s">
        <v>467</v>
      </c>
      <c r="B130" s="9"/>
      <c r="C130" s="9">
        <v>2023</v>
      </c>
      <c r="D130" s="9" t="s">
        <v>236</v>
      </c>
      <c r="E130" s="9">
        <v>0.6</v>
      </c>
      <c r="F130" s="9" t="s">
        <v>466</v>
      </c>
      <c r="G130" s="9" t="s">
        <v>325</v>
      </c>
    </row>
    <row r="131" spans="1:7" x14ac:dyDescent="0.25">
      <c r="A131" s="9" t="s">
        <v>468</v>
      </c>
      <c r="B131" s="9"/>
      <c r="C131" s="9">
        <v>2024</v>
      </c>
      <c r="D131" s="9" t="s">
        <v>268</v>
      </c>
      <c r="E131" s="9">
        <v>1.66</v>
      </c>
      <c r="F131" s="9" t="s">
        <v>469</v>
      </c>
      <c r="G131" s="9" t="s">
        <v>325</v>
      </c>
    </row>
    <row r="132" spans="1:7" x14ac:dyDescent="0.25">
      <c r="A132" s="9" t="s">
        <v>470</v>
      </c>
      <c r="B132" s="9"/>
      <c r="C132" s="9">
        <v>2023</v>
      </c>
      <c r="D132" s="9" t="s">
        <v>236</v>
      </c>
      <c r="E132" s="9">
        <v>1.64</v>
      </c>
      <c r="F132" s="9" t="s">
        <v>471</v>
      </c>
      <c r="G132" s="9" t="s">
        <v>325</v>
      </c>
    </row>
    <row r="133" spans="1:7" x14ac:dyDescent="0.25">
      <c r="A133" s="9" t="s">
        <v>472</v>
      </c>
      <c r="B133" s="9"/>
      <c r="C133" s="9">
        <v>2022</v>
      </c>
      <c r="D133" s="9" t="s">
        <v>236</v>
      </c>
      <c r="E133" s="9">
        <v>0.37</v>
      </c>
      <c r="F133" s="9" t="s">
        <v>473</v>
      </c>
      <c r="G133" s="9" t="s">
        <v>325</v>
      </c>
    </row>
    <row r="134" spans="1:7" x14ac:dyDescent="0.25">
      <c r="A134" s="9" t="s">
        <v>474</v>
      </c>
      <c r="B134" s="9"/>
      <c r="C134" s="9">
        <v>2025</v>
      </c>
      <c r="D134" s="9" t="s">
        <v>236</v>
      </c>
      <c r="E134" s="9">
        <v>1.69</v>
      </c>
      <c r="F134" s="9" t="s">
        <v>475</v>
      </c>
      <c r="G134" s="9" t="s">
        <v>325</v>
      </c>
    </row>
    <row r="135" spans="1:7" x14ac:dyDescent="0.25">
      <c r="A135" s="9" t="s">
        <v>476</v>
      </c>
      <c r="B135" s="9"/>
      <c r="C135" s="9">
        <v>2024</v>
      </c>
      <c r="D135" s="9" t="s">
        <v>236</v>
      </c>
      <c r="E135" s="9">
        <v>1.65</v>
      </c>
      <c r="F135" s="9" t="s">
        <v>477</v>
      </c>
      <c r="G135" s="9" t="s">
        <v>325</v>
      </c>
    </row>
    <row r="136" spans="1:7" x14ac:dyDescent="0.25">
      <c r="A136" s="9" t="s">
        <v>478</v>
      </c>
      <c r="B136" s="9"/>
      <c r="C136" s="9">
        <v>2023</v>
      </c>
      <c r="D136" s="9" t="s">
        <v>236</v>
      </c>
      <c r="E136" s="9">
        <v>1.42</v>
      </c>
      <c r="F136" s="9" t="s">
        <v>479</v>
      </c>
      <c r="G136" s="9" t="s">
        <v>325</v>
      </c>
    </row>
    <row r="137" spans="1:7" x14ac:dyDescent="0.25">
      <c r="A137" s="9" t="s">
        <v>480</v>
      </c>
      <c r="B137" s="9"/>
      <c r="C137" s="9">
        <v>2024</v>
      </c>
      <c r="D137" s="9" t="s">
        <v>236</v>
      </c>
      <c r="E137" s="9">
        <v>0.42</v>
      </c>
      <c r="F137" s="9" t="s">
        <v>481</v>
      </c>
      <c r="G137" s="9" t="s">
        <v>325</v>
      </c>
    </row>
    <row r="138" spans="1:7" x14ac:dyDescent="0.25">
      <c r="A138" s="9" t="s">
        <v>482</v>
      </c>
      <c r="B138" s="9"/>
      <c r="C138" s="9">
        <v>2024</v>
      </c>
      <c r="D138" s="9" t="s">
        <v>236</v>
      </c>
      <c r="E138" s="9">
        <v>1.17</v>
      </c>
      <c r="F138" s="9" t="s">
        <v>481</v>
      </c>
      <c r="G138" s="9" t="s">
        <v>325</v>
      </c>
    </row>
    <row r="139" spans="1:7" x14ac:dyDescent="0.25">
      <c r="A139" s="9" t="s">
        <v>483</v>
      </c>
      <c r="B139" s="9"/>
      <c r="C139" s="9">
        <v>2026</v>
      </c>
      <c r="D139" s="9" t="s">
        <v>236</v>
      </c>
      <c r="E139" s="9">
        <v>0.35</v>
      </c>
      <c r="F139" s="9" t="s">
        <v>484</v>
      </c>
      <c r="G139" s="9" t="s">
        <v>325</v>
      </c>
    </row>
    <row r="140" spans="1:7" x14ac:dyDescent="0.25">
      <c r="A140" s="9" t="s">
        <v>485</v>
      </c>
      <c r="B140" s="9"/>
      <c r="C140" s="9">
        <v>2024</v>
      </c>
      <c r="D140" s="9" t="s">
        <v>236</v>
      </c>
      <c r="E140" s="9">
        <v>1.94</v>
      </c>
      <c r="F140" s="9" t="s">
        <v>486</v>
      </c>
      <c r="G140" s="9" t="s">
        <v>325</v>
      </c>
    </row>
    <row r="141" spans="1:7" x14ac:dyDescent="0.25">
      <c r="A141" s="9" t="s">
        <v>487</v>
      </c>
      <c r="B141" s="9"/>
      <c r="C141" s="9">
        <v>2024</v>
      </c>
      <c r="D141" s="9" t="s">
        <v>236</v>
      </c>
      <c r="E141" s="9">
        <v>1.31</v>
      </c>
      <c r="F141" s="9" t="s">
        <v>486</v>
      </c>
      <c r="G141" s="9" t="s">
        <v>325</v>
      </c>
    </row>
    <row r="142" spans="1:7" x14ac:dyDescent="0.25">
      <c r="A142" s="9" t="s">
        <v>488</v>
      </c>
      <c r="B142" s="9"/>
      <c r="C142" s="9">
        <v>2024</v>
      </c>
      <c r="D142" s="9" t="s">
        <v>268</v>
      </c>
      <c r="E142" s="9">
        <v>1.97</v>
      </c>
      <c r="F142" s="9" t="s">
        <v>489</v>
      </c>
      <c r="G142" s="9" t="s">
        <v>325</v>
      </c>
    </row>
    <row r="143" spans="1:7" x14ac:dyDescent="0.25">
      <c r="A143" s="9" t="s">
        <v>490</v>
      </c>
      <c r="B143" s="9"/>
      <c r="C143" s="9">
        <v>2022</v>
      </c>
      <c r="D143" s="9" t="s">
        <v>268</v>
      </c>
      <c r="E143" s="9">
        <v>1.28</v>
      </c>
      <c r="F143" s="9" t="s">
        <v>491</v>
      </c>
      <c r="G143" s="9" t="s">
        <v>325</v>
      </c>
    </row>
    <row r="144" spans="1:7" x14ac:dyDescent="0.25">
      <c r="A144" s="9" t="s">
        <v>492</v>
      </c>
      <c r="B144" s="9"/>
      <c r="C144" s="9">
        <v>2022</v>
      </c>
      <c r="D144" s="9" t="s">
        <v>268</v>
      </c>
      <c r="E144" s="9">
        <v>0.3</v>
      </c>
      <c r="F144" s="9" t="s">
        <v>493</v>
      </c>
      <c r="G144" s="9" t="s">
        <v>325</v>
      </c>
    </row>
    <row r="145" spans="1:7" x14ac:dyDescent="0.25">
      <c r="A145" s="9" t="s">
        <v>494</v>
      </c>
      <c r="B145" s="9"/>
      <c r="C145" s="9">
        <v>2026</v>
      </c>
      <c r="D145" s="9" t="s">
        <v>268</v>
      </c>
      <c r="E145" s="9">
        <v>1.9</v>
      </c>
      <c r="F145" s="9" t="s">
        <v>495</v>
      </c>
      <c r="G145" s="9" t="s">
        <v>325</v>
      </c>
    </row>
    <row r="146" spans="1:7" x14ac:dyDescent="0.25">
      <c r="A146" s="9" t="s">
        <v>496</v>
      </c>
      <c r="B146" s="9"/>
      <c r="C146" s="9">
        <v>2023</v>
      </c>
      <c r="D146" s="9" t="s">
        <v>268</v>
      </c>
      <c r="E146" s="9">
        <v>0.42</v>
      </c>
      <c r="F146" s="9" t="s">
        <v>497</v>
      </c>
      <c r="G146" s="9" t="s">
        <v>325</v>
      </c>
    </row>
    <row r="147" spans="1:7" x14ac:dyDescent="0.25">
      <c r="A147" s="9" t="s">
        <v>498</v>
      </c>
      <c r="B147" s="9"/>
      <c r="C147" s="9">
        <v>2024</v>
      </c>
      <c r="D147" s="9" t="s">
        <v>268</v>
      </c>
      <c r="E147" s="9">
        <v>1.43</v>
      </c>
      <c r="F147" s="9" t="s">
        <v>499</v>
      </c>
      <c r="G147" s="9" t="s">
        <v>325</v>
      </c>
    </row>
    <row r="148" spans="1:7" x14ac:dyDescent="0.25">
      <c r="A148" s="9" t="s">
        <v>500</v>
      </c>
      <c r="B148" s="9"/>
      <c r="C148" s="9">
        <v>2022</v>
      </c>
      <c r="D148" s="9" t="s">
        <v>268</v>
      </c>
      <c r="E148" s="9">
        <v>0.81</v>
      </c>
      <c r="F148" s="9" t="s">
        <v>501</v>
      </c>
      <c r="G148" s="9" t="s">
        <v>325</v>
      </c>
    </row>
    <row r="149" spans="1:7" x14ac:dyDescent="0.25">
      <c r="A149" s="9" t="s">
        <v>502</v>
      </c>
      <c r="B149" s="9"/>
      <c r="C149" s="9">
        <v>2025</v>
      </c>
      <c r="D149" s="9" t="s">
        <v>268</v>
      </c>
      <c r="E149" s="9">
        <v>1.49</v>
      </c>
      <c r="F149" s="9" t="s">
        <v>503</v>
      </c>
      <c r="G149" s="9" t="s">
        <v>325</v>
      </c>
    </row>
    <row r="150" spans="1:7" x14ac:dyDescent="0.25">
      <c r="A150" s="9" t="s">
        <v>504</v>
      </c>
      <c r="B150" s="9"/>
      <c r="C150" s="9">
        <v>2026</v>
      </c>
      <c r="D150" s="9" t="s">
        <v>268</v>
      </c>
      <c r="E150" s="9">
        <v>1.01</v>
      </c>
      <c r="F150" s="9" t="s">
        <v>505</v>
      </c>
      <c r="G150" s="9" t="s">
        <v>325</v>
      </c>
    </row>
  </sheetData>
  <dataValidations count="1">
    <dataValidation type="list" allowBlank="1" sqref="D2:D180" xr:uid="{00000000-0002-0000-0500-000000000000}">
      <formula1>"Engineering and Technology,Natural Sciences,Life Sciences and Medicine,Social Sciences and Management,Arts and Humanities"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0"/>
  <sheetViews>
    <sheetView zoomScaleNormal="100" workbookViewId="0">
      <pane ySplit="1" topLeftCell="A2" activePane="bottomLeft" state="frozen"/>
      <selection pane="bottomLeft" activeCell="E6" sqref="E6"/>
    </sheetView>
  </sheetViews>
  <sheetFormatPr defaultColWidth="8.7109375" defaultRowHeight="15" x14ac:dyDescent="0.25"/>
  <cols>
    <col min="1" max="1" width="12" customWidth="1"/>
    <col min="2" max="2" width="10" customWidth="1"/>
    <col min="3" max="3" width="45" customWidth="1"/>
    <col min="4" max="4" width="12" customWidth="1"/>
    <col min="5" max="5" width="26" customWidth="1"/>
    <col min="6" max="6" width="12" customWidth="1"/>
  </cols>
  <sheetData>
    <row r="1" spans="1:6" ht="25.5" x14ac:dyDescent="0.25">
      <c r="A1" s="8" t="s">
        <v>506</v>
      </c>
      <c r="B1" s="8" t="s">
        <v>507</v>
      </c>
      <c r="C1" s="8" t="s">
        <v>34</v>
      </c>
      <c r="D1" s="8" t="s">
        <v>508</v>
      </c>
      <c r="E1" s="8" t="s">
        <v>509</v>
      </c>
      <c r="F1" s="8" t="s">
        <v>510</v>
      </c>
    </row>
    <row r="2" spans="1:6" x14ac:dyDescent="0.25">
      <c r="A2" s="9" t="s">
        <v>223</v>
      </c>
      <c r="B2" s="9" t="s">
        <v>57</v>
      </c>
      <c r="C2" s="10" t="str">
        <f>VLOOKUP(B2,Dosen!$A:$D,4,FALSE())</f>
        <v>Faculty of Marine Technology</v>
      </c>
      <c r="D2" s="10">
        <f>VLOOKUP(A2,Publikasi!$A:$G,5,FALSE())</f>
        <v>1.87</v>
      </c>
      <c r="E2" s="10" t="str">
        <f>VLOOKUP(A2,Publikasi!$A:$G,4,FALSE())</f>
        <v>Natural Sciences</v>
      </c>
      <c r="F2" s="10">
        <f>VLOOKUP(A2,Publikasi!$A:$G,3,FALSE())</f>
        <v>2022</v>
      </c>
    </row>
    <row r="3" spans="1:6" x14ac:dyDescent="0.25">
      <c r="A3" s="9" t="s">
        <v>227</v>
      </c>
      <c r="B3" s="9" t="s">
        <v>85</v>
      </c>
      <c r="C3" s="10" t="str">
        <f>VLOOKUP(B3,Dosen!$A:$D,4,FALSE())</f>
        <v>Faculty of Intelligent Electrical and Informatics Technology</v>
      </c>
      <c r="D3" s="10">
        <f>VLOOKUP(A3,Publikasi!$A:$G,5,FALSE())</f>
        <v>1.89</v>
      </c>
      <c r="E3" s="10" t="str">
        <f>VLOOKUP(A3,Publikasi!$A:$G,4,FALSE())</f>
        <v>Natural Sciences</v>
      </c>
      <c r="F3" s="10">
        <f>VLOOKUP(A3,Publikasi!$A:$G,3,FALSE())</f>
        <v>2023</v>
      </c>
    </row>
    <row r="4" spans="1:6" x14ac:dyDescent="0.25">
      <c r="A4" s="9" t="s">
        <v>229</v>
      </c>
      <c r="B4" s="9" t="s">
        <v>149</v>
      </c>
      <c r="C4" s="10" t="str">
        <f>VLOOKUP(B4,Dosen!$A:$D,4,FALSE())</f>
        <v>School of Interdisciplinary Management and Technology</v>
      </c>
      <c r="D4" s="10">
        <f>VLOOKUP(A4,Publikasi!$A:$G,5,FALSE())</f>
        <v>1.81</v>
      </c>
      <c r="E4" s="10" t="str">
        <f>VLOOKUP(A4,Publikasi!$A:$G,4,FALSE())</f>
        <v>Natural Sciences</v>
      </c>
      <c r="F4" s="10">
        <f>VLOOKUP(A4,Publikasi!$A:$G,3,FALSE())</f>
        <v>2024</v>
      </c>
    </row>
    <row r="5" spans="1:6" x14ac:dyDescent="0.25">
      <c r="A5" s="9" t="s">
        <v>231</v>
      </c>
      <c r="B5" s="9" t="s">
        <v>149</v>
      </c>
      <c r="C5" s="10" t="str">
        <f>VLOOKUP(B5,Dosen!$A:$D,4,FALSE())</f>
        <v>School of Interdisciplinary Management and Technology</v>
      </c>
      <c r="D5" s="10">
        <f>VLOOKUP(A5,Publikasi!$A:$G,5,FALSE())</f>
        <v>1.79</v>
      </c>
      <c r="E5" s="10" t="str">
        <f>VLOOKUP(A5,Publikasi!$A:$G,4,FALSE())</f>
        <v>Natural Sciences</v>
      </c>
      <c r="F5" s="10">
        <f>VLOOKUP(A5,Publikasi!$A:$G,3,FALSE())</f>
        <v>2025</v>
      </c>
    </row>
    <row r="6" spans="1:6" x14ac:dyDescent="0.25">
      <c r="A6" s="9" t="s">
        <v>233</v>
      </c>
      <c r="B6" s="9" t="s">
        <v>65</v>
      </c>
      <c r="C6" s="10" t="str">
        <f>VLOOKUP(B6,Dosen!$A:$D,4,FALSE())</f>
        <v>Faculty of Marine Technology</v>
      </c>
      <c r="D6" s="10">
        <f>VLOOKUP(A6,Publikasi!$A:$G,5,FALSE())</f>
        <v>1.91</v>
      </c>
      <c r="E6" s="10" t="str">
        <f>VLOOKUP(A6,Publikasi!$A:$G,4,FALSE())</f>
        <v>Natural Sciences</v>
      </c>
      <c r="F6" s="10">
        <f>VLOOKUP(A6,Publikasi!$A:$G,3,FALSE())</f>
        <v>2026</v>
      </c>
    </row>
    <row r="7" spans="1:6" x14ac:dyDescent="0.25">
      <c r="A7" s="9" t="s">
        <v>235</v>
      </c>
      <c r="B7" s="9" t="s">
        <v>59</v>
      </c>
      <c r="C7" s="10" t="str">
        <f>VLOOKUP(B7,Dosen!$A:$D,4,FALSE())</f>
        <v>Faculty of Marine Technology</v>
      </c>
      <c r="D7" s="10">
        <f>VLOOKUP(A7,Publikasi!$A:$G,5,FALSE())</f>
        <v>1.1100000000000001</v>
      </c>
      <c r="E7" s="10" t="str">
        <f>VLOOKUP(A7,Publikasi!$A:$G,4,FALSE())</f>
        <v>Engineering and Technology</v>
      </c>
      <c r="F7" s="10">
        <f>VLOOKUP(A7,Publikasi!$A:$G,3,FALSE())</f>
        <v>2023</v>
      </c>
    </row>
    <row r="8" spans="1:6" x14ac:dyDescent="0.25">
      <c r="A8" s="9" t="s">
        <v>238</v>
      </c>
      <c r="B8" s="9" t="s">
        <v>81</v>
      </c>
      <c r="C8" s="10" t="str">
        <f>VLOOKUP(B8,Dosen!$A:$D,4,FALSE())</f>
        <v>Faculty of Intelligent Electrical and Informatics Technology</v>
      </c>
      <c r="D8" s="10">
        <f>VLOOKUP(A8,Publikasi!$A:$G,5,FALSE())</f>
        <v>1.02</v>
      </c>
      <c r="E8" s="10" t="str">
        <f>VLOOKUP(A8,Publikasi!$A:$G,4,FALSE())</f>
        <v>Engineering and Technology</v>
      </c>
      <c r="F8" s="10">
        <f>VLOOKUP(A8,Publikasi!$A:$G,3,FALSE())</f>
        <v>2024</v>
      </c>
    </row>
    <row r="9" spans="1:6" x14ac:dyDescent="0.25">
      <c r="A9" s="9" t="s">
        <v>240</v>
      </c>
      <c r="B9" s="9" t="s">
        <v>131</v>
      </c>
      <c r="C9" s="10" t="str">
        <f>VLOOKUP(B9,Dosen!$A:$D,4,FALSE())</f>
        <v>Faculty of Science and Data Analytics</v>
      </c>
      <c r="D9" s="10">
        <f>VLOOKUP(A9,Publikasi!$A:$G,5,FALSE())</f>
        <v>1.06</v>
      </c>
      <c r="E9" s="10" t="str">
        <f>VLOOKUP(A9,Publikasi!$A:$G,4,FALSE())</f>
        <v>Engineering and Technology</v>
      </c>
      <c r="F9" s="10">
        <f>VLOOKUP(A9,Publikasi!$A:$G,3,FALSE())</f>
        <v>2025</v>
      </c>
    </row>
    <row r="10" spans="1:6" x14ac:dyDescent="0.25">
      <c r="A10" s="9" t="s">
        <v>242</v>
      </c>
      <c r="B10" s="9" t="s">
        <v>79</v>
      </c>
      <c r="C10" s="10" t="str">
        <f>VLOOKUP(B10,Dosen!$A:$D,4,FALSE())</f>
        <v>Faculty of Intelligent Electrical and Informatics Technology</v>
      </c>
      <c r="D10" s="10">
        <f>VLOOKUP(A10,Publikasi!$A:$G,5,FALSE())</f>
        <v>1.02</v>
      </c>
      <c r="E10" s="10" t="str">
        <f>VLOOKUP(A10,Publikasi!$A:$G,4,FALSE())</f>
        <v>Engineering and Technology</v>
      </c>
      <c r="F10" s="10">
        <f>VLOOKUP(A10,Publikasi!$A:$G,3,FALSE())</f>
        <v>2026</v>
      </c>
    </row>
    <row r="11" spans="1:6" x14ac:dyDescent="0.25">
      <c r="A11" s="9" t="s">
        <v>244</v>
      </c>
      <c r="B11" s="9" t="s">
        <v>89</v>
      </c>
      <c r="C11" s="10" t="str">
        <f>VLOOKUP(B11,Dosen!$A:$D,4,FALSE())</f>
        <v>Faculty of Intelligent Electrical and Informatics Technology</v>
      </c>
      <c r="D11" s="10">
        <f>VLOOKUP(A11,Publikasi!$A:$G,5,FALSE())</f>
        <v>1.71</v>
      </c>
      <c r="E11" s="10" t="str">
        <f>VLOOKUP(A11,Publikasi!$A:$G,4,FALSE())</f>
        <v>Engineering and Technology</v>
      </c>
      <c r="F11" s="10">
        <f>VLOOKUP(A11,Publikasi!$A:$G,3,FALSE())</f>
        <v>2022</v>
      </c>
    </row>
    <row r="12" spans="1:6" x14ac:dyDescent="0.25">
      <c r="A12" s="9" t="s">
        <v>246</v>
      </c>
      <c r="B12" s="9" t="s">
        <v>89</v>
      </c>
      <c r="C12" s="10" t="str">
        <f>VLOOKUP(B12,Dosen!$A:$D,4,FALSE())</f>
        <v>Faculty of Intelligent Electrical and Informatics Technology</v>
      </c>
      <c r="D12" s="10">
        <f>VLOOKUP(A12,Publikasi!$A:$G,5,FALSE())</f>
        <v>1.71</v>
      </c>
      <c r="E12" s="10" t="str">
        <f>VLOOKUP(A12,Publikasi!$A:$G,4,FALSE())</f>
        <v>Engineering and Technology</v>
      </c>
      <c r="F12" s="10">
        <f>VLOOKUP(A12,Publikasi!$A:$G,3,FALSE())</f>
        <v>2023</v>
      </c>
    </row>
    <row r="13" spans="1:6" x14ac:dyDescent="0.25">
      <c r="A13" s="9" t="s">
        <v>248</v>
      </c>
      <c r="B13" s="9" t="s">
        <v>89</v>
      </c>
      <c r="C13" s="10" t="str">
        <f>VLOOKUP(B13,Dosen!$A:$D,4,FALSE())</f>
        <v>Faculty of Intelligent Electrical and Informatics Technology</v>
      </c>
      <c r="D13" s="10">
        <f>VLOOKUP(A13,Publikasi!$A:$G,5,FALSE())</f>
        <v>1.67</v>
      </c>
      <c r="E13" s="10" t="str">
        <f>VLOOKUP(A13,Publikasi!$A:$G,4,FALSE())</f>
        <v>Engineering and Technology</v>
      </c>
      <c r="F13" s="10">
        <f>VLOOKUP(A13,Publikasi!$A:$G,3,FALSE())</f>
        <v>2024</v>
      </c>
    </row>
    <row r="14" spans="1:6" x14ac:dyDescent="0.25">
      <c r="A14" s="9" t="s">
        <v>250</v>
      </c>
      <c r="B14" s="9" t="s">
        <v>89</v>
      </c>
      <c r="C14" s="10" t="str">
        <f>VLOOKUP(B14,Dosen!$A:$D,4,FALSE())</f>
        <v>Faculty of Intelligent Electrical and Informatics Technology</v>
      </c>
      <c r="D14" s="10">
        <f>VLOOKUP(A14,Publikasi!$A:$G,5,FALSE())</f>
        <v>1.67</v>
      </c>
      <c r="E14" s="10" t="str">
        <f>VLOOKUP(A14,Publikasi!$A:$G,4,FALSE())</f>
        <v>Engineering and Technology</v>
      </c>
      <c r="F14" s="10">
        <f>VLOOKUP(A14,Publikasi!$A:$G,3,FALSE())</f>
        <v>2025</v>
      </c>
    </row>
    <row r="15" spans="1:6" x14ac:dyDescent="0.25">
      <c r="A15" s="9" t="s">
        <v>252</v>
      </c>
      <c r="B15" s="9" t="s">
        <v>89</v>
      </c>
      <c r="C15" s="10" t="str">
        <f>VLOOKUP(B15,Dosen!$A:$D,4,FALSE())</f>
        <v>Faculty of Intelligent Electrical and Informatics Technology</v>
      </c>
      <c r="D15" s="10">
        <f>VLOOKUP(A15,Publikasi!$A:$G,5,FALSE())</f>
        <v>1.64</v>
      </c>
      <c r="E15" s="10" t="str">
        <f>VLOOKUP(A15,Publikasi!$A:$G,4,FALSE())</f>
        <v>Engineering and Technology</v>
      </c>
      <c r="F15" s="10">
        <f>VLOOKUP(A15,Publikasi!$A:$G,3,FALSE())</f>
        <v>2026</v>
      </c>
    </row>
    <row r="16" spans="1:6" x14ac:dyDescent="0.25">
      <c r="A16" s="9" t="s">
        <v>254</v>
      </c>
      <c r="B16" s="9" t="s">
        <v>75</v>
      </c>
      <c r="C16" s="10" t="str">
        <f>VLOOKUP(B16,Dosen!$A:$D,4,FALSE())</f>
        <v>Faculty of Intelligent Electrical and Informatics Technology</v>
      </c>
      <c r="D16" s="10">
        <f>VLOOKUP(A16,Publikasi!$A:$G,5,FALSE())</f>
        <v>1.51</v>
      </c>
      <c r="E16" s="10" t="str">
        <f>VLOOKUP(A16,Publikasi!$A:$G,4,FALSE())</f>
        <v>Life Sciences and Medicine</v>
      </c>
      <c r="F16" s="10">
        <f>VLOOKUP(A16,Publikasi!$A:$G,3,FALSE())</f>
        <v>2022</v>
      </c>
    </row>
    <row r="17" spans="1:6" x14ac:dyDescent="0.25">
      <c r="A17" s="9" t="s">
        <v>257</v>
      </c>
      <c r="B17" s="9" t="s">
        <v>97</v>
      </c>
      <c r="C17" s="10" t="str">
        <f>VLOOKUP(B17,Dosen!$A:$D,4,FALSE())</f>
        <v>Faculty of Civil, Planning, and Geo-Engineering</v>
      </c>
      <c r="D17" s="10">
        <f>VLOOKUP(A17,Publikasi!$A:$G,5,FALSE())</f>
        <v>1.48</v>
      </c>
      <c r="E17" s="10" t="str">
        <f>VLOOKUP(A17,Publikasi!$A:$G,4,FALSE())</f>
        <v>Life Sciences and Medicine</v>
      </c>
      <c r="F17" s="10">
        <f>VLOOKUP(A17,Publikasi!$A:$G,3,FALSE())</f>
        <v>2023</v>
      </c>
    </row>
    <row r="18" spans="1:6" x14ac:dyDescent="0.25">
      <c r="A18" s="9" t="s">
        <v>259</v>
      </c>
      <c r="B18" s="9" t="s">
        <v>81</v>
      </c>
      <c r="C18" s="10" t="str">
        <f>VLOOKUP(B18,Dosen!$A:$D,4,FALSE())</f>
        <v>Faculty of Intelligent Electrical and Informatics Technology</v>
      </c>
      <c r="D18" s="10">
        <f>VLOOKUP(A18,Publikasi!$A:$G,5,FALSE())</f>
        <v>1.41</v>
      </c>
      <c r="E18" s="10" t="str">
        <f>VLOOKUP(A18,Publikasi!$A:$G,4,FALSE())</f>
        <v>Life Sciences and Medicine</v>
      </c>
      <c r="F18" s="10">
        <f>VLOOKUP(A18,Publikasi!$A:$G,3,FALSE())</f>
        <v>2024</v>
      </c>
    </row>
    <row r="19" spans="1:6" x14ac:dyDescent="0.25">
      <c r="A19" s="9" t="s">
        <v>261</v>
      </c>
      <c r="B19" s="9" t="s">
        <v>97</v>
      </c>
      <c r="C19" s="10" t="str">
        <f>VLOOKUP(B19,Dosen!$A:$D,4,FALSE())</f>
        <v>Faculty of Civil, Planning, and Geo-Engineering</v>
      </c>
      <c r="D19" s="10">
        <f>VLOOKUP(A19,Publikasi!$A:$G,5,FALSE())</f>
        <v>1.27</v>
      </c>
      <c r="E19" s="10" t="str">
        <f>VLOOKUP(A19,Publikasi!$A:$G,4,FALSE())</f>
        <v>Natural Sciences</v>
      </c>
      <c r="F19" s="10">
        <f>VLOOKUP(A19,Publikasi!$A:$G,3,FALSE())</f>
        <v>2022</v>
      </c>
    </row>
    <row r="20" spans="1:6" x14ac:dyDescent="0.25">
      <c r="A20" s="9" t="s">
        <v>263</v>
      </c>
      <c r="B20" s="9" t="s">
        <v>103</v>
      </c>
      <c r="C20" s="10" t="str">
        <f>VLOOKUP(B20,Dosen!$A:$D,4,FALSE())</f>
        <v>Faculty of Industrial Technology and System Engineering</v>
      </c>
      <c r="D20" s="10">
        <f>VLOOKUP(A20,Publikasi!$A:$G,5,FALSE())</f>
        <v>1.1399999999999999</v>
      </c>
      <c r="E20" s="10" t="str">
        <f>VLOOKUP(A20,Publikasi!$A:$G,4,FALSE())</f>
        <v>Natural Sciences</v>
      </c>
      <c r="F20" s="10">
        <f>VLOOKUP(A20,Publikasi!$A:$G,3,FALSE())</f>
        <v>2023</v>
      </c>
    </row>
    <row r="21" spans="1:6" x14ac:dyDescent="0.25">
      <c r="A21" s="9" t="s">
        <v>265</v>
      </c>
      <c r="B21" s="9" t="s">
        <v>99</v>
      </c>
      <c r="C21" s="10" t="str">
        <f>VLOOKUP(B21,Dosen!$A:$D,4,FALSE())</f>
        <v>Faculty of Civil, Planning, and Geo-Engineering</v>
      </c>
      <c r="D21" s="10">
        <f>VLOOKUP(A21,Publikasi!$A:$G,5,FALSE())</f>
        <v>1.1399999999999999</v>
      </c>
      <c r="E21" s="10" t="str">
        <f>VLOOKUP(A21,Publikasi!$A:$G,4,FALSE())</f>
        <v>Natural Sciences</v>
      </c>
      <c r="F21" s="10">
        <f>VLOOKUP(A21,Publikasi!$A:$G,3,FALSE())</f>
        <v>2024</v>
      </c>
    </row>
    <row r="22" spans="1:6" x14ac:dyDescent="0.25">
      <c r="A22" s="9" t="s">
        <v>267</v>
      </c>
      <c r="B22" s="9" t="s">
        <v>59</v>
      </c>
      <c r="C22" s="10" t="str">
        <f>VLOOKUP(B22,Dosen!$A:$D,4,FALSE())</f>
        <v>Faculty of Marine Technology</v>
      </c>
      <c r="D22" s="10">
        <f>VLOOKUP(A22,Publikasi!$A:$G,5,FALSE())</f>
        <v>0.97</v>
      </c>
      <c r="E22" s="10" t="str">
        <f>VLOOKUP(A22,Publikasi!$A:$G,4,FALSE())</f>
        <v>Social Sciences and Management</v>
      </c>
      <c r="F22" s="10">
        <f>VLOOKUP(A22,Publikasi!$A:$G,3,FALSE())</f>
        <v>2022</v>
      </c>
    </row>
    <row r="23" spans="1:6" x14ac:dyDescent="0.25">
      <c r="A23" s="9" t="s">
        <v>270</v>
      </c>
      <c r="B23" s="9" t="s">
        <v>123</v>
      </c>
      <c r="C23" s="10" t="str">
        <f>VLOOKUP(B23,Dosen!$A:$D,4,FALSE())</f>
        <v>Faculty of Medicine and Health</v>
      </c>
      <c r="D23" s="10">
        <f>VLOOKUP(A23,Publikasi!$A:$G,5,FALSE())</f>
        <v>0.99</v>
      </c>
      <c r="E23" s="10" t="str">
        <f>VLOOKUP(A23,Publikasi!$A:$G,4,FALSE())</f>
        <v>Social Sciences and Management</v>
      </c>
      <c r="F23" s="10">
        <f>VLOOKUP(A23,Publikasi!$A:$G,3,FALSE())</f>
        <v>2023</v>
      </c>
    </row>
    <row r="24" spans="1:6" x14ac:dyDescent="0.25">
      <c r="A24" s="9" t="s">
        <v>272</v>
      </c>
      <c r="B24" s="9" t="s">
        <v>103</v>
      </c>
      <c r="C24" s="10" t="str">
        <f>VLOOKUP(B24,Dosen!$A:$D,4,FALSE())</f>
        <v>Faculty of Industrial Technology and System Engineering</v>
      </c>
      <c r="D24" s="10">
        <f>VLOOKUP(A24,Publikasi!$A:$G,5,FALSE())</f>
        <v>0.89</v>
      </c>
      <c r="E24" s="10" t="str">
        <f>VLOOKUP(A24,Publikasi!$A:$G,4,FALSE())</f>
        <v>Social Sciences and Management</v>
      </c>
      <c r="F24" s="10">
        <f>VLOOKUP(A24,Publikasi!$A:$G,3,FALSE())</f>
        <v>2024</v>
      </c>
    </row>
    <row r="25" spans="1:6" x14ac:dyDescent="0.25">
      <c r="A25" s="9" t="s">
        <v>274</v>
      </c>
      <c r="B25" s="9" t="s">
        <v>63</v>
      </c>
      <c r="C25" s="10" t="str">
        <f>VLOOKUP(B25,Dosen!$A:$D,4,FALSE())</f>
        <v>Faculty of Marine Technology</v>
      </c>
      <c r="D25" s="10">
        <f>VLOOKUP(A25,Publikasi!$A:$G,5,FALSE())</f>
        <v>1.55</v>
      </c>
      <c r="E25" s="10" t="str">
        <f>VLOOKUP(A25,Publikasi!$A:$G,4,FALSE())</f>
        <v>Engineering and Technology</v>
      </c>
      <c r="F25" s="10">
        <f>VLOOKUP(A25,Publikasi!$A:$G,3,FALSE())</f>
        <v>2025</v>
      </c>
    </row>
    <row r="26" spans="1:6" x14ac:dyDescent="0.25">
      <c r="A26" s="9" t="s">
        <v>276</v>
      </c>
      <c r="B26" s="9" t="s">
        <v>63</v>
      </c>
      <c r="C26" s="10" t="str">
        <f>VLOOKUP(B26,Dosen!$A:$D,4,FALSE())</f>
        <v>Faculty of Marine Technology</v>
      </c>
      <c r="D26" s="10">
        <f>VLOOKUP(A26,Publikasi!$A:$G,5,FALSE())</f>
        <v>1.59</v>
      </c>
      <c r="E26" s="10" t="str">
        <f>VLOOKUP(A26,Publikasi!$A:$G,4,FALSE())</f>
        <v>Engineering and Technology</v>
      </c>
      <c r="F26" s="10">
        <f>VLOOKUP(A26,Publikasi!$A:$G,3,FALSE())</f>
        <v>2026</v>
      </c>
    </row>
    <row r="27" spans="1:6" x14ac:dyDescent="0.25">
      <c r="A27" s="9" t="s">
        <v>278</v>
      </c>
      <c r="B27" s="9" t="s">
        <v>67</v>
      </c>
      <c r="C27" s="10" t="str">
        <f>VLOOKUP(B27,Dosen!$A:$D,4,FALSE())</f>
        <v>Faculty of Marine Technology</v>
      </c>
      <c r="D27" s="10">
        <f>VLOOKUP(A27,Publikasi!$A:$G,5,FALSE())</f>
        <v>1.07</v>
      </c>
      <c r="E27" s="10" t="str">
        <f>VLOOKUP(A27,Publikasi!$A:$G,4,FALSE())</f>
        <v>Engineering and Technology</v>
      </c>
      <c r="F27" s="10">
        <f>VLOOKUP(A27,Publikasi!$A:$G,3,FALSE())</f>
        <v>2026</v>
      </c>
    </row>
    <row r="28" spans="1:6" x14ac:dyDescent="0.25">
      <c r="A28" s="9" t="s">
        <v>280</v>
      </c>
      <c r="B28" s="9" t="s">
        <v>81</v>
      </c>
      <c r="C28" s="10" t="str">
        <f>VLOOKUP(B28,Dosen!$A:$D,4,FALSE())</f>
        <v>Faculty of Intelligent Electrical and Informatics Technology</v>
      </c>
      <c r="D28" s="10">
        <f>VLOOKUP(A28,Publikasi!$A:$G,5,FALSE())</f>
        <v>0.78</v>
      </c>
      <c r="E28" s="10" t="str">
        <f>VLOOKUP(A28,Publikasi!$A:$G,4,FALSE())</f>
        <v>Engineering and Technology</v>
      </c>
      <c r="F28" s="10">
        <f>VLOOKUP(A28,Publikasi!$A:$G,3,FALSE())</f>
        <v>2026</v>
      </c>
    </row>
    <row r="29" spans="1:6" x14ac:dyDescent="0.25">
      <c r="A29" s="9" t="s">
        <v>282</v>
      </c>
      <c r="B29" s="9" t="s">
        <v>79</v>
      </c>
      <c r="C29" s="10" t="str">
        <f>VLOOKUP(B29,Dosen!$A:$D,4,FALSE())</f>
        <v>Faculty of Intelligent Electrical and Informatics Technology</v>
      </c>
      <c r="D29" s="10">
        <f>VLOOKUP(A29,Publikasi!$A:$G,5,FALSE())</f>
        <v>1.73</v>
      </c>
      <c r="E29" s="10" t="str">
        <f>VLOOKUP(A29,Publikasi!$A:$G,4,FALSE())</f>
        <v>Natural Sciences</v>
      </c>
      <c r="F29" s="10">
        <f>VLOOKUP(A29,Publikasi!$A:$G,3,FALSE())</f>
        <v>2025</v>
      </c>
    </row>
    <row r="30" spans="1:6" x14ac:dyDescent="0.25">
      <c r="A30" s="9" t="s">
        <v>284</v>
      </c>
      <c r="B30" s="9" t="s">
        <v>59</v>
      </c>
      <c r="C30" s="10" t="str">
        <f>VLOOKUP(B30,Dosen!$A:$D,4,FALSE())</f>
        <v>Faculty of Marine Technology</v>
      </c>
      <c r="D30" s="10">
        <f>VLOOKUP(A30,Publikasi!$A:$G,5,FALSE())</f>
        <v>1.78</v>
      </c>
      <c r="E30" s="10" t="str">
        <f>VLOOKUP(A30,Publikasi!$A:$G,4,FALSE())</f>
        <v>Natural Sciences</v>
      </c>
      <c r="F30" s="10">
        <f>VLOOKUP(A30,Publikasi!$A:$G,3,FALSE())</f>
        <v>2026</v>
      </c>
    </row>
    <row r="31" spans="1:6" x14ac:dyDescent="0.25">
      <c r="A31" s="9" t="s">
        <v>286</v>
      </c>
      <c r="B31" s="9" t="s">
        <v>91</v>
      </c>
      <c r="C31" s="10" t="str">
        <f>VLOOKUP(B31,Dosen!$A:$D,4,FALSE())</f>
        <v>Faculty of Intelligent Electrical and Informatics Technology</v>
      </c>
      <c r="D31" s="10">
        <f>VLOOKUP(A31,Publikasi!$A:$G,5,FALSE())</f>
        <v>1.33</v>
      </c>
      <c r="E31" s="10" t="str">
        <f>VLOOKUP(A31,Publikasi!$A:$G,4,FALSE())</f>
        <v>Life Sciences and Medicine</v>
      </c>
      <c r="F31" s="10">
        <f>VLOOKUP(A31,Publikasi!$A:$G,3,FALSE())</f>
        <v>2025</v>
      </c>
    </row>
    <row r="32" spans="1:6" x14ac:dyDescent="0.25">
      <c r="A32" s="9" t="s">
        <v>288</v>
      </c>
      <c r="B32" s="9" t="s">
        <v>83</v>
      </c>
      <c r="C32" s="10" t="str">
        <f>VLOOKUP(B32,Dosen!$A:$D,4,FALSE())</f>
        <v>Faculty of Intelligent Electrical and Informatics Technology</v>
      </c>
      <c r="D32" s="10">
        <f>VLOOKUP(A32,Publikasi!$A:$G,5,FALSE())</f>
        <v>1.38</v>
      </c>
      <c r="E32" s="10" t="str">
        <f>VLOOKUP(A32,Publikasi!$A:$G,4,FALSE())</f>
        <v>Life Sciences and Medicine</v>
      </c>
      <c r="F32" s="10">
        <f>VLOOKUP(A32,Publikasi!$A:$G,3,FALSE())</f>
        <v>2026</v>
      </c>
    </row>
    <row r="33" spans="1:6" x14ac:dyDescent="0.25">
      <c r="A33" s="9" t="s">
        <v>290</v>
      </c>
      <c r="B33" s="9" t="s">
        <v>103</v>
      </c>
      <c r="C33" s="10" t="str">
        <f>VLOOKUP(B33,Dosen!$A:$D,4,FALSE())</f>
        <v>Faculty of Industrial Technology and System Engineering</v>
      </c>
      <c r="D33" s="10">
        <f>VLOOKUP(A33,Publikasi!$A:$G,5,FALSE())</f>
        <v>0.56000000000000005</v>
      </c>
      <c r="E33" s="10" t="str">
        <f>VLOOKUP(A33,Publikasi!$A:$G,4,FALSE())</f>
        <v>Engineering and Technology</v>
      </c>
      <c r="F33" s="10">
        <f>VLOOKUP(A33,Publikasi!$A:$G,3,FALSE())</f>
        <v>2024</v>
      </c>
    </row>
    <row r="34" spans="1:6" x14ac:dyDescent="0.25">
      <c r="A34" s="9" t="s">
        <v>292</v>
      </c>
      <c r="B34" s="9" t="s">
        <v>135</v>
      </c>
      <c r="C34" s="10" t="str">
        <f>VLOOKUP(B34,Dosen!$A:$D,4,FALSE())</f>
        <v>Faculty of Vocation</v>
      </c>
      <c r="D34" s="10">
        <f>VLOOKUP(A34,Publikasi!$A:$G,5,FALSE())</f>
        <v>0.46</v>
      </c>
      <c r="E34" s="10" t="str">
        <f>VLOOKUP(A34,Publikasi!$A:$G,4,FALSE())</f>
        <v>Engineering and Technology</v>
      </c>
      <c r="F34" s="10">
        <f>VLOOKUP(A34,Publikasi!$A:$G,3,FALSE())</f>
        <v>2025</v>
      </c>
    </row>
    <row r="35" spans="1:6" x14ac:dyDescent="0.25">
      <c r="A35" s="9" t="s">
        <v>294</v>
      </c>
      <c r="B35" s="9" t="s">
        <v>75</v>
      </c>
      <c r="C35" s="10" t="str">
        <f>VLOOKUP(B35,Dosen!$A:$D,4,FALSE())</f>
        <v>Faculty of Intelligent Electrical and Informatics Technology</v>
      </c>
      <c r="D35" s="10">
        <f>VLOOKUP(A35,Publikasi!$A:$G,5,FALSE())</f>
        <v>1.45</v>
      </c>
      <c r="E35" s="10" t="str">
        <f>VLOOKUP(A35,Publikasi!$A:$G,4,FALSE())</f>
        <v>Engineering and Technology</v>
      </c>
      <c r="F35" s="10">
        <f>VLOOKUP(A35,Publikasi!$A:$G,3,FALSE())</f>
        <v>2025</v>
      </c>
    </row>
    <row r="36" spans="1:6" x14ac:dyDescent="0.25">
      <c r="A36" s="9" t="s">
        <v>296</v>
      </c>
      <c r="B36" s="9" t="s">
        <v>81</v>
      </c>
      <c r="C36" s="10" t="str">
        <f>VLOOKUP(B36,Dosen!$A:$D,4,FALSE())</f>
        <v>Faculty of Intelligent Electrical and Informatics Technology</v>
      </c>
      <c r="D36" s="10">
        <f>VLOOKUP(A36,Publikasi!$A:$G,5,FALSE())</f>
        <v>1.53</v>
      </c>
      <c r="E36" s="10" t="str">
        <f>VLOOKUP(A36,Publikasi!$A:$G,4,FALSE())</f>
        <v>Engineering and Technology</v>
      </c>
      <c r="F36" s="10">
        <f>VLOOKUP(A36,Publikasi!$A:$G,3,FALSE())</f>
        <v>2022</v>
      </c>
    </row>
    <row r="37" spans="1:6" x14ac:dyDescent="0.25">
      <c r="A37" s="9" t="s">
        <v>298</v>
      </c>
      <c r="B37" s="9" t="s">
        <v>143</v>
      </c>
      <c r="C37" s="10" t="str">
        <f>VLOOKUP(B37,Dosen!$A:$D,4,FALSE())</f>
        <v>School of Interdisciplinary Management and Technology</v>
      </c>
      <c r="D37" s="10">
        <f>VLOOKUP(A37,Publikasi!$A:$G,5,FALSE())</f>
        <v>0.63</v>
      </c>
      <c r="E37" s="10" t="str">
        <f>VLOOKUP(A37,Publikasi!$A:$G,4,FALSE())</f>
        <v>Social Sciences and Management</v>
      </c>
      <c r="F37" s="10">
        <f>VLOOKUP(A37,Publikasi!$A:$G,3,FALSE())</f>
        <v>2023</v>
      </c>
    </row>
    <row r="38" spans="1:6" x14ac:dyDescent="0.25">
      <c r="A38" s="9" t="s">
        <v>300</v>
      </c>
      <c r="B38" s="9" t="s">
        <v>137</v>
      </c>
      <c r="C38" s="10" t="str">
        <f>VLOOKUP(B38,Dosen!$A:$D,4,FALSE())</f>
        <v>Faculty of Vocation</v>
      </c>
      <c r="D38" s="10">
        <f>VLOOKUP(A38,Publikasi!$A:$G,5,FALSE())</f>
        <v>0.42</v>
      </c>
      <c r="E38" s="10" t="str">
        <f>VLOOKUP(A38,Publikasi!$A:$G,4,FALSE())</f>
        <v>Arts and Humanities</v>
      </c>
      <c r="F38" s="10">
        <f>VLOOKUP(A38,Publikasi!$A:$G,3,FALSE())</f>
        <v>2022</v>
      </c>
    </row>
    <row r="39" spans="1:6" x14ac:dyDescent="0.25">
      <c r="A39" s="9" t="s">
        <v>303</v>
      </c>
      <c r="B39" s="9" t="s">
        <v>135</v>
      </c>
      <c r="C39" s="10" t="str">
        <f>VLOOKUP(B39,Dosen!$A:$D,4,FALSE())</f>
        <v>Faculty of Vocation</v>
      </c>
      <c r="D39" s="10">
        <f>VLOOKUP(A39,Publikasi!$A:$G,5,FALSE())</f>
        <v>0.78</v>
      </c>
      <c r="E39" s="10" t="str">
        <f>VLOOKUP(A39,Publikasi!$A:$G,4,FALSE())</f>
        <v>Engineering and Technology</v>
      </c>
      <c r="F39" s="10">
        <f>VLOOKUP(A39,Publikasi!$A:$G,3,FALSE())</f>
        <v>2017</v>
      </c>
    </row>
    <row r="40" spans="1:6" x14ac:dyDescent="0.25">
      <c r="A40" s="9" t="s">
        <v>305</v>
      </c>
      <c r="B40" s="9" t="s">
        <v>147</v>
      </c>
      <c r="C40" s="10" t="str">
        <f>VLOOKUP(B40,Dosen!$A:$D,4,FALSE())</f>
        <v>School of Interdisciplinary Management and Technology</v>
      </c>
      <c r="D40" s="10">
        <f>VLOOKUP(A40,Publikasi!$A:$G,5,FALSE())</f>
        <v>0.8</v>
      </c>
      <c r="E40" s="10" t="str">
        <f>VLOOKUP(A40,Publikasi!$A:$G,4,FALSE())</f>
        <v>Engineering and Technology</v>
      </c>
      <c r="F40" s="10">
        <f>VLOOKUP(A40,Publikasi!$A:$G,3,FALSE())</f>
        <v>2018</v>
      </c>
    </row>
    <row r="41" spans="1:6" x14ac:dyDescent="0.25">
      <c r="A41" s="9" t="s">
        <v>307</v>
      </c>
      <c r="B41" s="9" t="s">
        <v>113</v>
      </c>
      <c r="C41" s="10" t="str">
        <f>VLOOKUP(B41,Dosen!$A:$D,4,FALSE())</f>
        <v>Faculty of Creative Design and Digital Business</v>
      </c>
      <c r="D41" s="10">
        <f>VLOOKUP(A41,Publikasi!$A:$G,5,FALSE())</f>
        <v>0.81</v>
      </c>
      <c r="E41" s="10" t="str">
        <f>VLOOKUP(A41,Publikasi!$A:$G,4,FALSE())</f>
        <v>Engineering and Technology</v>
      </c>
      <c r="F41" s="10">
        <f>VLOOKUP(A41,Publikasi!$A:$G,3,FALSE())</f>
        <v>2019</v>
      </c>
    </row>
    <row r="42" spans="1:6" x14ac:dyDescent="0.25">
      <c r="A42" s="9" t="s">
        <v>309</v>
      </c>
      <c r="B42" s="9" t="s">
        <v>135</v>
      </c>
      <c r="C42" s="10" t="str">
        <f>VLOOKUP(B42,Dosen!$A:$D,4,FALSE())</f>
        <v>Faculty of Vocation</v>
      </c>
      <c r="D42" s="10">
        <f>VLOOKUP(A42,Publikasi!$A:$G,5,FALSE())</f>
        <v>0.88</v>
      </c>
      <c r="E42" s="10" t="str">
        <f>VLOOKUP(A42,Publikasi!$A:$G,4,FALSE())</f>
        <v>Natural Sciences</v>
      </c>
      <c r="F42" s="10">
        <f>VLOOKUP(A42,Publikasi!$A:$G,3,FALSE())</f>
        <v>2015</v>
      </c>
    </row>
    <row r="43" spans="1:6" x14ac:dyDescent="0.25">
      <c r="A43" s="9" t="s">
        <v>311</v>
      </c>
      <c r="B43" s="9" t="s">
        <v>83</v>
      </c>
      <c r="C43" s="10" t="str">
        <f>VLOOKUP(B43,Dosen!$A:$D,4,FALSE())</f>
        <v>Faculty of Intelligent Electrical and Informatics Technology</v>
      </c>
      <c r="D43" s="10">
        <f>VLOOKUP(A43,Publikasi!$A:$G,5,FALSE())</f>
        <v>0.93</v>
      </c>
      <c r="E43" s="10" t="str">
        <f>VLOOKUP(A43,Publikasi!$A:$G,4,FALSE())</f>
        <v>Natural Sciences</v>
      </c>
      <c r="F43" s="10">
        <f>VLOOKUP(A43,Publikasi!$A:$G,3,FALSE())</f>
        <v>2016</v>
      </c>
    </row>
    <row r="44" spans="1:6" x14ac:dyDescent="0.25">
      <c r="A44" s="9" t="s">
        <v>313</v>
      </c>
      <c r="B44" s="9" t="s">
        <v>61</v>
      </c>
      <c r="C44" s="10" t="str">
        <f>VLOOKUP(B44,Dosen!$A:$D,4,FALSE())</f>
        <v>Faculty of Marine Technology</v>
      </c>
      <c r="D44" s="10">
        <f>VLOOKUP(A44,Publikasi!$A:$G,5,FALSE())</f>
        <v>0.93</v>
      </c>
      <c r="E44" s="10" t="str">
        <f>VLOOKUP(A44,Publikasi!$A:$G,4,FALSE())</f>
        <v>Natural Sciences</v>
      </c>
      <c r="F44" s="10">
        <f>VLOOKUP(A44,Publikasi!$A:$G,3,FALSE())</f>
        <v>2017</v>
      </c>
    </row>
    <row r="45" spans="1:6" x14ac:dyDescent="0.25">
      <c r="A45" s="9" t="s">
        <v>315</v>
      </c>
      <c r="B45" s="9" t="s">
        <v>59</v>
      </c>
      <c r="C45" s="10" t="str">
        <f>VLOOKUP(B45,Dosen!$A:$D,4,FALSE())</f>
        <v>Faculty of Marine Technology</v>
      </c>
      <c r="D45" s="10">
        <f>VLOOKUP(A45,Publikasi!$A:$G,5,FALSE())</f>
        <v>0.86</v>
      </c>
      <c r="E45" s="10" t="str">
        <f>VLOOKUP(A45,Publikasi!$A:$G,4,FALSE())</f>
        <v>Natural Sciences</v>
      </c>
      <c r="F45" s="10">
        <f>VLOOKUP(A45,Publikasi!$A:$G,3,FALSE())</f>
        <v>2018</v>
      </c>
    </row>
    <row r="46" spans="1:6" x14ac:dyDescent="0.25">
      <c r="A46" s="9" t="s">
        <v>317</v>
      </c>
      <c r="B46" s="9" t="s">
        <v>105</v>
      </c>
      <c r="C46" s="10" t="str">
        <f>VLOOKUP(B46,Dosen!$A:$D,4,FALSE())</f>
        <v>Faculty of Industrial Technology and System Engineering</v>
      </c>
      <c r="D46" s="10">
        <f>VLOOKUP(A46,Publikasi!$A:$G,5,FALSE())</f>
        <v>0.75</v>
      </c>
      <c r="E46" s="10" t="str">
        <f>VLOOKUP(A46,Publikasi!$A:$G,4,FALSE())</f>
        <v>Social Sciences and Management</v>
      </c>
      <c r="F46" s="10">
        <f>VLOOKUP(A46,Publikasi!$A:$G,3,FALSE())</f>
        <v>2017</v>
      </c>
    </row>
    <row r="47" spans="1:6" x14ac:dyDescent="0.25">
      <c r="A47" s="9" t="s">
        <v>319</v>
      </c>
      <c r="B47" s="9" t="s">
        <v>81</v>
      </c>
      <c r="C47" s="10" t="str">
        <f>VLOOKUP(B47,Dosen!$A:$D,4,FALSE())</f>
        <v>Faculty of Intelligent Electrical and Informatics Technology</v>
      </c>
      <c r="D47" s="10">
        <f>VLOOKUP(A47,Publikasi!$A:$G,5,FALSE())</f>
        <v>0.66</v>
      </c>
      <c r="E47" s="10" t="str">
        <f>VLOOKUP(A47,Publikasi!$A:$G,4,FALSE())</f>
        <v>Social Sciences and Management</v>
      </c>
      <c r="F47" s="10">
        <f>VLOOKUP(A47,Publikasi!$A:$G,3,FALSE())</f>
        <v>2018</v>
      </c>
    </row>
    <row r="48" spans="1:6" x14ac:dyDescent="0.25">
      <c r="A48" s="9" t="s">
        <v>321</v>
      </c>
      <c r="B48" s="9" t="s">
        <v>127</v>
      </c>
      <c r="C48" s="10" t="str">
        <f>VLOOKUP(B48,Dosen!$A:$D,4,FALSE())</f>
        <v>Faculty of Science and Data Analytics</v>
      </c>
      <c r="D48" s="10">
        <f>VLOOKUP(A48,Publikasi!$A:$G,5,FALSE())</f>
        <v>0.77</v>
      </c>
      <c r="E48" s="10" t="str">
        <f>VLOOKUP(A48,Publikasi!$A:$G,4,FALSE())</f>
        <v>Social Sciences and Management</v>
      </c>
      <c r="F48" s="10">
        <f>VLOOKUP(A48,Publikasi!$A:$G,3,FALSE())</f>
        <v>2019</v>
      </c>
    </row>
    <row r="49" spans="1:6" x14ac:dyDescent="0.25">
      <c r="A49" s="9" t="s">
        <v>323</v>
      </c>
      <c r="B49" s="9" t="s">
        <v>55</v>
      </c>
      <c r="C49" s="10" t="str">
        <f>VLOOKUP(B49,Dosen!$A:$D,4,FALSE())</f>
        <v>Faculty of Marine Technology</v>
      </c>
      <c r="D49" s="10">
        <f>VLOOKUP(A49,Publikasi!$A:$G,5,FALSE())</f>
        <v>0.31</v>
      </c>
      <c r="E49" s="10" t="str">
        <f>VLOOKUP(A49,Publikasi!$A:$G,4,FALSE())</f>
        <v>Engineering and Technology</v>
      </c>
      <c r="F49" s="10">
        <f>VLOOKUP(A49,Publikasi!$A:$G,3,FALSE())</f>
        <v>2024</v>
      </c>
    </row>
    <row r="50" spans="1:6" x14ac:dyDescent="0.25">
      <c r="A50" s="9" t="s">
        <v>326</v>
      </c>
      <c r="B50" s="9" t="s">
        <v>55</v>
      </c>
      <c r="C50" s="10" t="str">
        <f>VLOOKUP(B50,Dosen!$A:$D,4,FALSE())</f>
        <v>Faculty of Marine Technology</v>
      </c>
      <c r="D50" s="10">
        <f>VLOOKUP(A50,Publikasi!$A:$G,5,FALSE())</f>
        <v>0.37</v>
      </c>
      <c r="E50" s="10" t="str">
        <f>VLOOKUP(A50,Publikasi!$A:$G,4,FALSE())</f>
        <v>Engineering and Technology</v>
      </c>
      <c r="F50" s="10">
        <f>VLOOKUP(A50,Publikasi!$A:$G,3,FALSE())</f>
        <v>2025</v>
      </c>
    </row>
    <row r="51" spans="1:6" x14ac:dyDescent="0.25">
      <c r="A51" s="9" t="s">
        <v>328</v>
      </c>
      <c r="B51" s="9" t="s">
        <v>55</v>
      </c>
      <c r="C51" s="10" t="str">
        <f>VLOOKUP(B51,Dosen!$A:$D,4,FALSE())</f>
        <v>Faculty of Marine Technology</v>
      </c>
      <c r="D51" s="10">
        <f>VLOOKUP(A51,Publikasi!$A:$G,5,FALSE())</f>
        <v>0.28999999999999998</v>
      </c>
      <c r="E51" s="10" t="str">
        <f>VLOOKUP(A51,Publikasi!$A:$G,4,FALSE())</f>
        <v>Engineering and Technology</v>
      </c>
      <c r="F51" s="10">
        <f>VLOOKUP(A51,Publikasi!$A:$G,3,FALSE())</f>
        <v>2025</v>
      </c>
    </row>
    <row r="52" spans="1:6" x14ac:dyDescent="0.25">
      <c r="A52" s="9" t="s">
        <v>329</v>
      </c>
      <c r="B52" s="9" t="s">
        <v>55</v>
      </c>
      <c r="C52" s="10" t="str">
        <f>VLOOKUP(B52,Dosen!$A:$D,4,FALSE())</f>
        <v>Faculty of Marine Technology</v>
      </c>
      <c r="D52" s="10">
        <f>VLOOKUP(A52,Publikasi!$A:$G,5,FALSE())</f>
        <v>0.32</v>
      </c>
      <c r="E52" s="10" t="str">
        <f>VLOOKUP(A52,Publikasi!$A:$G,4,FALSE())</f>
        <v>Engineering and Technology</v>
      </c>
      <c r="F52" s="10">
        <f>VLOOKUP(A52,Publikasi!$A:$G,3,FALSE())</f>
        <v>2023</v>
      </c>
    </row>
    <row r="53" spans="1:6" x14ac:dyDescent="0.25">
      <c r="A53" s="9" t="s">
        <v>331</v>
      </c>
      <c r="B53" s="9" t="s">
        <v>55</v>
      </c>
      <c r="C53" s="10" t="str">
        <f>VLOOKUP(B53,Dosen!$A:$D,4,FALSE())</f>
        <v>Faculty of Marine Technology</v>
      </c>
      <c r="D53" s="10">
        <f>VLOOKUP(A53,Publikasi!$A:$G,5,FALSE())</f>
        <v>0.41</v>
      </c>
      <c r="E53" s="10" t="str">
        <f>VLOOKUP(A53,Publikasi!$A:$G,4,FALSE())</f>
        <v>Engineering and Technology</v>
      </c>
      <c r="F53" s="10">
        <f>VLOOKUP(A53,Publikasi!$A:$G,3,FALSE())</f>
        <v>2026</v>
      </c>
    </row>
    <row r="54" spans="1:6" x14ac:dyDescent="0.25">
      <c r="A54" s="9" t="s">
        <v>333</v>
      </c>
      <c r="B54" s="9" t="s">
        <v>55</v>
      </c>
      <c r="C54" s="10" t="str">
        <f>VLOOKUP(B54,Dosen!$A:$D,4,FALSE())</f>
        <v>Faculty of Marine Technology</v>
      </c>
      <c r="D54" s="10">
        <f>VLOOKUP(A54,Publikasi!$A:$G,5,FALSE())</f>
        <v>0.38</v>
      </c>
      <c r="E54" s="10" t="str">
        <f>VLOOKUP(A54,Publikasi!$A:$G,4,FALSE())</f>
        <v>Engineering and Technology</v>
      </c>
      <c r="F54" s="10">
        <f>VLOOKUP(A54,Publikasi!$A:$G,3,FALSE())</f>
        <v>2026</v>
      </c>
    </row>
    <row r="55" spans="1:6" x14ac:dyDescent="0.25">
      <c r="A55" s="9" t="s">
        <v>334</v>
      </c>
      <c r="B55" s="9" t="s">
        <v>55</v>
      </c>
      <c r="C55" s="10" t="str">
        <f>VLOOKUP(B55,Dosen!$A:$D,4,FALSE())</f>
        <v>Faculty of Marine Technology</v>
      </c>
      <c r="D55" s="10">
        <f>VLOOKUP(A55,Publikasi!$A:$G,5,FALSE())</f>
        <v>0.37</v>
      </c>
      <c r="E55" s="10" t="str">
        <f>VLOOKUP(A55,Publikasi!$A:$G,4,FALSE())</f>
        <v>Engineering and Technology</v>
      </c>
      <c r="F55" s="10">
        <f>VLOOKUP(A55,Publikasi!$A:$G,3,FALSE())</f>
        <v>2026</v>
      </c>
    </row>
    <row r="56" spans="1:6" x14ac:dyDescent="0.25">
      <c r="A56" s="9" t="s">
        <v>335</v>
      </c>
      <c r="B56" s="9" t="s">
        <v>55</v>
      </c>
      <c r="C56" s="10" t="str">
        <f>VLOOKUP(B56,Dosen!$A:$D,4,FALSE())</f>
        <v>Faculty of Marine Technology</v>
      </c>
      <c r="D56" s="10">
        <f>VLOOKUP(A56,Publikasi!$A:$G,5,FALSE())</f>
        <v>0.55000000000000004</v>
      </c>
      <c r="E56" s="10" t="str">
        <f>VLOOKUP(A56,Publikasi!$A:$G,4,FALSE())</f>
        <v>Engineering and Technology</v>
      </c>
      <c r="F56" s="10">
        <f>VLOOKUP(A56,Publikasi!$A:$G,3,FALSE())</f>
        <v>2023</v>
      </c>
    </row>
    <row r="57" spans="1:6" x14ac:dyDescent="0.25">
      <c r="A57" s="9" t="s">
        <v>336</v>
      </c>
      <c r="B57" s="9" t="s">
        <v>55</v>
      </c>
      <c r="C57" s="10" t="str">
        <f>VLOOKUP(B57,Dosen!$A:$D,4,FALSE())</f>
        <v>Faculty of Marine Technology</v>
      </c>
      <c r="D57" s="10">
        <f>VLOOKUP(A57,Publikasi!$A:$G,5,FALSE())</f>
        <v>0.4</v>
      </c>
      <c r="E57" s="10" t="str">
        <f>VLOOKUP(A57,Publikasi!$A:$G,4,FALSE())</f>
        <v>Engineering and Technology</v>
      </c>
      <c r="F57" s="10">
        <f>VLOOKUP(A57,Publikasi!$A:$G,3,FALSE())</f>
        <v>2023</v>
      </c>
    </row>
    <row r="58" spans="1:6" x14ac:dyDescent="0.25">
      <c r="A58" s="9" t="s">
        <v>337</v>
      </c>
      <c r="B58" s="9" t="s">
        <v>57</v>
      </c>
      <c r="C58" s="10" t="str">
        <f>VLOOKUP(B58,Dosen!$A:$D,4,FALSE())</f>
        <v>Faculty of Marine Technology</v>
      </c>
      <c r="D58" s="10">
        <f>VLOOKUP(A58,Publikasi!$A:$G,5,FALSE())</f>
        <v>1.37</v>
      </c>
      <c r="E58" s="10" t="str">
        <f>VLOOKUP(A58,Publikasi!$A:$G,4,FALSE())</f>
        <v>Natural Sciences</v>
      </c>
      <c r="F58" s="10">
        <f>VLOOKUP(A58,Publikasi!$A:$G,3,FALSE())</f>
        <v>2022</v>
      </c>
    </row>
    <row r="59" spans="1:6" x14ac:dyDescent="0.25">
      <c r="A59" s="9" t="s">
        <v>339</v>
      </c>
      <c r="B59" s="9" t="s">
        <v>59</v>
      </c>
      <c r="C59" s="10" t="str">
        <f>VLOOKUP(B59,Dosen!$A:$D,4,FALSE())</f>
        <v>Faculty of Marine Technology</v>
      </c>
      <c r="D59" s="10">
        <f>VLOOKUP(A59,Publikasi!$A:$G,5,FALSE())</f>
        <v>0.95</v>
      </c>
      <c r="E59" s="10" t="str">
        <f>VLOOKUP(A59,Publikasi!$A:$G,4,FALSE())</f>
        <v>Engineering and Technology</v>
      </c>
      <c r="F59" s="10">
        <f>VLOOKUP(A59,Publikasi!$A:$G,3,FALSE())</f>
        <v>2025</v>
      </c>
    </row>
    <row r="60" spans="1:6" x14ac:dyDescent="0.25">
      <c r="A60" s="9" t="s">
        <v>341</v>
      </c>
      <c r="B60" s="9" t="s">
        <v>59</v>
      </c>
      <c r="C60" s="10" t="str">
        <f>VLOOKUP(B60,Dosen!$A:$D,4,FALSE())</f>
        <v>Faculty of Marine Technology</v>
      </c>
      <c r="D60" s="10">
        <f>VLOOKUP(A60,Publikasi!$A:$G,5,FALSE())</f>
        <v>0.73</v>
      </c>
      <c r="E60" s="10" t="str">
        <f>VLOOKUP(A60,Publikasi!$A:$G,4,FALSE())</f>
        <v>Arts and Humanities</v>
      </c>
      <c r="F60" s="10">
        <f>VLOOKUP(A60,Publikasi!$A:$G,3,FALSE())</f>
        <v>2026</v>
      </c>
    </row>
    <row r="61" spans="1:6" x14ac:dyDescent="0.25">
      <c r="A61" s="9" t="s">
        <v>343</v>
      </c>
      <c r="B61" s="9" t="s">
        <v>59</v>
      </c>
      <c r="C61" s="10" t="str">
        <f>VLOOKUP(B61,Dosen!$A:$D,4,FALSE())</f>
        <v>Faculty of Marine Technology</v>
      </c>
      <c r="D61" s="10">
        <f>VLOOKUP(A61,Publikasi!$A:$G,5,FALSE())</f>
        <v>1.46</v>
      </c>
      <c r="E61" s="10" t="str">
        <f>VLOOKUP(A61,Publikasi!$A:$G,4,FALSE())</f>
        <v>Engineering and Technology</v>
      </c>
      <c r="F61" s="10">
        <f>VLOOKUP(A61,Publikasi!$A:$G,3,FALSE())</f>
        <v>2026</v>
      </c>
    </row>
    <row r="62" spans="1:6" x14ac:dyDescent="0.25">
      <c r="A62" s="9" t="s">
        <v>344</v>
      </c>
      <c r="B62" s="9" t="s">
        <v>61</v>
      </c>
      <c r="C62" s="10" t="str">
        <f>VLOOKUP(B62,Dosen!$A:$D,4,FALSE())</f>
        <v>Faculty of Marine Technology</v>
      </c>
      <c r="D62" s="10">
        <f>VLOOKUP(A62,Publikasi!$A:$G,5,FALSE())</f>
        <v>0.49</v>
      </c>
      <c r="E62" s="10" t="str">
        <f>VLOOKUP(A62,Publikasi!$A:$G,4,FALSE())</f>
        <v>Life Sciences and Medicine</v>
      </c>
      <c r="F62" s="10">
        <f>VLOOKUP(A62,Publikasi!$A:$G,3,FALSE())</f>
        <v>2026</v>
      </c>
    </row>
    <row r="63" spans="1:6" x14ac:dyDescent="0.25">
      <c r="A63" s="9" t="s">
        <v>346</v>
      </c>
      <c r="B63" s="9" t="s">
        <v>63</v>
      </c>
      <c r="C63" s="10" t="str">
        <f>VLOOKUP(B63,Dosen!$A:$D,4,FALSE())</f>
        <v>Faculty of Marine Technology</v>
      </c>
      <c r="D63" s="10">
        <f>VLOOKUP(A63,Publikasi!$A:$G,5,FALSE())</f>
        <v>1.92</v>
      </c>
      <c r="E63" s="10" t="str">
        <f>VLOOKUP(A63,Publikasi!$A:$G,4,FALSE())</f>
        <v>Engineering and Technology</v>
      </c>
      <c r="F63" s="10">
        <f>VLOOKUP(A63,Publikasi!$A:$G,3,FALSE())</f>
        <v>2023</v>
      </c>
    </row>
    <row r="64" spans="1:6" x14ac:dyDescent="0.25">
      <c r="A64" s="9" t="s">
        <v>348</v>
      </c>
      <c r="B64" s="9" t="s">
        <v>63</v>
      </c>
      <c r="C64" s="10" t="str">
        <f>VLOOKUP(B64,Dosen!$A:$D,4,FALSE())</f>
        <v>Faculty of Marine Technology</v>
      </c>
      <c r="D64" s="10">
        <f>VLOOKUP(A64,Publikasi!$A:$G,5,FALSE())</f>
        <v>1.1599999999999999</v>
      </c>
      <c r="E64" s="10" t="str">
        <f>VLOOKUP(A64,Publikasi!$A:$G,4,FALSE())</f>
        <v>Natural Sciences</v>
      </c>
      <c r="F64" s="10">
        <f>VLOOKUP(A64,Publikasi!$A:$G,3,FALSE())</f>
        <v>2024</v>
      </c>
    </row>
    <row r="65" spans="1:6" x14ac:dyDescent="0.25">
      <c r="A65" s="9" t="s">
        <v>350</v>
      </c>
      <c r="B65" s="9" t="s">
        <v>65</v>
      </c>
      <c r="C65" s="10" t="str">
        <f>VLOOKUP(B65,Dosen!$A:$D,4,FALSE())</f>
        <v>Faculty of Marine Technology</v>
      </c>
      <c r="D65" s="10">
        <f>VLOOKUP(A65,Publikasi!$A:$G,5,FALSE())</f>
        <v>1.34</v>
      </c>
      <c r="E65" s="10" t="str">
        <f>VLOOKUP(A65,Publikasi!$A:$G,4,FALSE())</f>
        <v>Arts and Humanities</v>
      </c>
      <c r="F65" s="10">
        <f>VLOOKUP(A65,Publikasi!$A:$G,3,FALSE())</f>
        <v>2024</v>
      </c>
    </row>
    <row r="66" spans="1:6" x14ac:dyDescent="0.25">
      <c r="A66" s="9" t="s">
        <v>352</v>
      </c>
      <c r="B66" s="9" t="s">
        <v>67</v>
      </c>
      <c r="C66" s="10" t="str">
        <f>VLOOKUP(B66,Dosen!$A:$D,4,FALSE())</f>
        <v>Faculty of Marine Technology</v>
      </c>
      <c r="D66" s="10">
        <f>VLOOKUP(A66,Publikasi!$A:$G,5,FALSE())</f>
        <v>1.92</v>
      </c>
      <c r="E66" s="10" t="str">
        <f>VLOOKUP(A66,Publikasi!$A:$G,4,FALSE())</f>
        <v>Arts and Humanities</v>
      </c>
      <c r="F66" s="10">
        <f>VLOOKUP(A66,Publikasi!$A:$G,3,FALSE())</f>
        <v>2024</v>
      </c>
    </row>
    <row r="67" spans="1:6" x14ac:dyDescent="0.25">
      <c r="A67" s="9" t="s">
        <v>354</v>
      </c>
      <c r="B67" s="9" t="s">
        <v>69</v>
      </c>
      <c r="C67" s="10" t="str">
        <f>VLOOKUP(B67,Dosen!$A:$D,4,FALSE())</f>
        <v>Faculty of Marine Technology</v>
      </c>
      <c r="D67" s="10">
        <f>VLOOKUP(A67,Publikasi!$A:$G,5,FALSE())</f>
        <v>1.1299999999999999</v>
      </c>
      <c r="E67" s="10" t="str">
        <f>VLOOKUP(A67,Publikasi!$A:$G,4,FALSE())</f>
        <v>Engineering and Technology</v>
      </c>
      <c r="F67" s="10">
        <f>VLOOKUP(A67,Publikasi!$A:$G,3,FALSE())</f>
        <v>2022</v>
      </c>
    </row>
    <row r="68" spans="1:6" x14ac:dyDescent="0.25">
      <c r="A68" s="9" t="s">
        <v>356</v>
      </c>
      <c r="B68" s="9" t="s">
        <v>69</v>
      </c>
      <c r="C68" s="10" t="str">
        <f>VLOOKUP(B68,Dosen!$A:$D,4,FALSE())</f>
        <v>Faculty of Marine Technology</v>
      </c>
      <c r="D68" s="10">
        <f>VLOOKUP(A68,Publikasi!$A:$G,5,FALSE())</f>
        <v>0.71</v>
      </c>
      <c r="E68" s="10" t="str">
        <f>VLOOKUP(A68,Publikasi!$A:$G,4,FALSE())</f>
        <v>Life Sciences and Medicine</v>
      </c>
      <c r="F68" s="10">
        <f>VLOOKUP(A68,Publikasi!$A:$G,3,FALSE())</f>
        <v>2022</v>
      </c>
    </row>
    <row r="69" spans="1:6" x14ac:dyDescent="0.25">
      <c r="A69" s="9" t="s">
        <v>357</v>
      </c>
      <c r="B69" s="9" t="s">
        <v>69</v>
      </c>
      <c r="C69" s="10" t="str">
        <f>VLOOKUP(B69,Dosen!$A:$D,4,FALSE())</f>
        <v>Faculty of Marine Technology</v>
      </c>
      <c r="D69" s="10">
        <f>VLOOKUP(A69,Publikasi!$A:$G,5,FALSE())</f>
        <v>0.45</v>
      </c>
      <c r="E69" s="10" t="str">
        <f>VLOOKUP(A69,Publikasi!$A:$G,4,FALSE())</f>
        <v>Engineering and Technology</v>
      </c>
      <c r="F69" s="10">
        <f>VLOOKUP(A69,Publikasi!$A:$G,3,FALSE())</f>
        <v>2023</v>
      </c>
    </row>
    <row r="70" spans="1:6" x14ac:dyDescent="0.25">
      <c r="A70" s="9" t="s">
        <v>359</v>
      </c>
      <c r="B70" s="9" t="s">
        <v>71</v>
      </c>
      <c r="C70" s="10" t="str">
        <f>VLOOKUP(B70,Dosen!$A:$D,4,FALSE())</f>
        <v>Faculty of Intelligent Electrical and Informatics Technology</v>
      </c>
      <c r="D70" s="10">
        <f>VLOOKUP(A70,Publikasi!$A:$G,5,FALSE())</f>
        <v>1.6</v>
      </c>
      <c r="E70" s="10" t="str">
        <f>VLOOKUP(A70,Publikasi!$A:$G,4,FALSE())</f>
        <v>Arts and Humanities</v>
      </c>
      <c r="F70" s="10">
        <f>VLOOKUP(A70,Publikasi!$A:$G,3,FALSE())</f>
        <v>2022</v>
      </c>
    </row>
    <row r="71" spans="1:6" x14ac:dyDescent="0.25">
      <c r="A71" s="9" t="s">
        <v>361</v>
      </c>
      <c r="B71" s="9" t="s">
        <v>71</v>
      </c>
      <c r="C71" s="10" t="str">
        <f>VLOOKUP(B71,Dosen!$A:$D,4,FALSE())</f>
        <v>Faculty of Intelligent Electrical and Informatics Technology</v>
      </c>
      <c r="D71" s="10">
        <f>VLOOKUP(A71,Publikasi!$A:$G,5,FALSE())</f>
        <v>1.91</v>
      </c>
      <c r="E71" s="10" t="str">
        <f>VLOOKUP(A71,Publikasi!$A:$G,4,FALSE())</f>
        <v>Engineering and Technology</v>
      </c>
      <c r="F71" s="10">
        <f>VLOOKUP(A71,Publikasi!$A:$G,3,FALSE())</f>
        <v>2023</v>
      </c>
    </row>
    <row r="72" spans="1:6" x14ac:dyDescent="0.25">
      <c r="A72" s="9" t="s">
        <v>363</v>
      </c>
      <c r="B72" s="9" t="s">
        <v>73</v>
      </c>
      <c r="C72" s="10" t="str">
        <f>VLOOKUP(B72,Dosen!$A:$D,4,FALSE())</f>
        <v>Faculty of Intelligent Electrical and Informatics Technology</v>
      </c>
      <c r="D72" s="10">
        <f>VLOOKUP(A72,Publikasi!$A:$G,5,FALSE())</f>
        <v>1.33</v>
      </c>
      <c r="E72" s="10" t="str">
        <f>VLOOKUP(A72,Publikasi!$A:$G,4,FALSE())</f>
        <v>Engineering and Technology</v>
      </c>
      <c r="F72" s="10">
        <f>VLOOKUP(A72,Publikasi!$A:$G,3,FALSE())</f>
        <v>2024</v>
      </c>
    </row>
    <row r="73" spans="1:6" x14ac:dyDescent="0.25">
      <c r="A73" s="9" t="s">
        <v>365</v>
      </c>
      <c r="B73" s="9" t="s">
        <v>75</v>
      </c>
      <c r="C73" s="10" t="str">
        <f>VLOOKUP(B73,Dosen!$A:$D,4,FALSE())</f>
        <v>Faculty of Intelligent Electrical and Informatics Technology</v>
      </c>
      <c r="D73" s="10">
        <f>VLOOKUP(A73,Publikasi!$A:$G,5,FALSE())</f>
        <v>1.51</v>
      </c>
      <c r="E73" s="10" t="str">
        <f>VLOOKUP(A73,Publikasi!$A:$G,4,FALSE())</f>
        <v>Natural Sciences</v>
      </c>
      <c r="F73" s="10">
        <f>VLOOKUP(A73,Publikasi!$A:$G,3,FALSE())</f>
        <v>2026</v>
      </c>
    </row>
    <row r="74" spans="1:6" x14ac:dyDescent="0.25">
      <c r="A74" s="9" t="s">
        <v>367</v>
      </c>
      <c r="B74" s="9" t="s">
        <v>77</v>
      </c>
      <c r="C74" s="10" t="str">
        <f>VLOOKUP(B74,Dosen!$A:$D,4,FALSE())</f>
        <v>Faculty of Intelligent Electrical and Informatics Technology</v>
      </c>
      <c r="D74" s="10">
        <f>VLOOKUP(A74,Publikasi!$A:$G,5,FALSE())</f>
        <v>1.18</v>
      </c>
      <c r="E74" s="10" t="str">
        <f>VLOOKUP(A74,Publikasi!$A:$G,4,FALSE())</f>
        <v>Engineering and Technology</v>
      </c>
      <c r="F74" s="10">
        <f>VLOOKUP(A74,Publikasi!$A:$G,3,FALSE())</f>
        <v>2024</v>
      </c>
    </row>
    <row r="75" spans="1:6" x14ac:dyDescent="0.25">
      <c r="A75" s="9" t="s">
        <v>369</v>
      </c>
      <c r="B75" s="9" t="s">
        <v>77</v>
      </c>
      <c r="C75" s="10" t="str">
        <f>VLOOKUP(B75,Dosen!$A:$D,4,FALSE())</f>
        <v>Faculty of Intelligent Electrical and Informatics Technology</v>
      </c>
      <c r="D75" s="10">
        <f>VLOOKUP(A75,Publikasi!$A:$G,5,FALSE())</f>
        <v>0.41</v>
      </c>
      <c r="E75" s="10" t="str">
        <f>VLOOKUP(A75,Publikasi!$A:$G,4,FALSE())</f>
        <v>Engineering and Technology</v>
      </c>
      <c r="F75" s="10">
        <f>VLOOKUP(A75,Publikasi!$A:$G,3,FALSE())</f>
        <v>2022</v>
      </c>
    </row>
    <row r="76" spans="1:6" x14ac:dyDescent="0.25">
      <c r="A76" s="9" t="s">
        <v>371</v>
      </c>
      <c r="B76" s="9" t="s">
        <v>79</v>
      </c>
      <c r="C76" s="10" t="str">
        <f>VLOOKUP(B76,Dosen!$A:$D,4,FALSE())</f>
        <v>Faculty of Intelligent Electrical and Informatics Technology</v>
      </c>
      <c r="D76" s="10">
        <f>VLOOKUP(A76,Publikasi!$A:$G,5,FALSE())</f>
        <v>1.3</v>
      </c>
      <c r="E76" s="10" t="str">
        <f>VLOOKUP(A76,Publikasi!$A:$G,4,FALSE())</f>
        <v>Engineering and Technology</v>
      </c>
      <c r="F76" s="10">
        <f>VLOOKUP(A76,Publikasi!$A:$G,3,FALSE())</f>
        <v>2026</v>
      </c>
    </row>
    <row r="77" spans="1:6" x14ac:dyDescent="0.25">
      <c r="A77" s="9" t="s">
        <v>373</v>
      </c>
      <c r="B77" s="9" t="s">
        <v>81</v>
      </c>
      <c r="C77" s="10" t="str">
        <f>VLOOKUP(B77,Dosen!$A:$D,4,FALSE())</f>
        <v>Faculty of Intelligent Electrical and Informatics Technology</v>
      </c>
      <c r="D77" s="10">
        <f>VLOOKUP(A77,Publikasi!$A:$G,5,FALSE())</f>
        <v>0.4</v>
      </c>
      <c r="E77" s="10" t="str">
        <f>VLOOKUP(A77,Publikasi!$A:$G,4,FALSE())</f>
        <v>Engineering and Technology</v>
      </c>
      <c r="F77" s="10">
        <f>VLOOKUP(A77,Publikasi!$A:$G,3,FALSE())</f>
        <v>2022</v>
      </c>
    </row>
    <row r="78" spans="1:6" x14ac:dyDescent="0.25">
      <c r="A78" s="9" t="s">
        <v>375</v>
      </c>
      <c r="B78" s="9" t="s">
        <v>83</v>
      </c>
      <c r="C78" s="10" t="str">
        <f>VLOOKUP(B78,Dosen!$A:$D,4,FALSE())</f>
        <v>Faculty of Intelligent Electrical and Informatics Technology</v>
      </c>
      <c r="D78" s="10">
        <f>VLOOKUP(A78,Publikasi!$A:$G,5,FALSE())</f>
        <v>1.17</v>
      </c>
      <c r="E78" s="10" t="str">
        <f>VLOOKUP(A78,Publikasi!$A:$G,4,FALSE())</f>
        <v>Engineering and Technology</v>
      </c>
      <c r="F78" s="10">
        <f>VLOOKUP(A78,Publikasi!$A:$G,3,FALSE())</f>
        <v>2022</v>
      </c>
    </row>
    <row r="79" spans="1:6" x14ac:dyDescent="0.25">
      <c r="A79" s="9" t="s">
        <v>377</v>
      </c>
      <c r="B79" s="9" t="s">
        <v>85</v>
      </c>
      <c r="C79" s="10" t="str">
        <f>VLOOKUP(B79,Dosen!$A:$D,4,FALSE())</f>
        <v>Faculty of Intelligent Electrical and Informatics Technology</v>
      </c>
      <c r="D79" s="10">
        <f>VLOOKUP(A79,Publikasi!$A:$G,5,FALSE())</f>
        <v>0.52</v>
      </c>
      <c r="E79" s="10" t="str">
        <f>VLOOKUP(A79,Publikasi!$A:$G,4,FALSE())</f>
        <v>Engineering and Technology</v>
      </c>
      <c r="F79" s="10">
        <f>VLOOKUP(A79,Publikasi!$A:$G,3,FALSE())</f>
        <v>2025</v>
      </c>
    </row>
    <row r="80" spans="1:6" x14ac:dyDescent="0.25">
      <c r="A80" s="9" t="s">
        <v>379</v>
      </c>
      <c r="B80" s="9" t="s">
        <v>85</v>
      </c>
      <c r="C80" s="10" t="str">
        <f>VLOOKUP(B80,Dosen!$A:$D,4,FALSE())</f>
        <v>Faculty of Intelligent Electrical and Informatics Technology</v>
      </c>
      <c r="D80" s="10">
        <f>VLOOKUP(A80,Publikasi!$A:$G,5,FALSE())</f>
        <v>0.71</v>
      </c>
      <c r="E80" s="10" t="str">
        <f>VLOOKUP(A80,Publikasi!$A:$G,4,FALSE())</f>
        <v>Engineering and Technology</v>
      </c>
      <c r="F80" s="10">
        <f>VLOOKUP(A80,Publikasi!$A:$G,3,FALSE())</f>
        <v>2026</v>
      </c>
    </row>
    <row r="81" spans="1:6" x14ac:dyDescent="0.25">
      <c r="A81" s="9" t="s">
        <v>381</v>
      </c>
      <c r="B81" s="9" t="s">
        <v>87</v>
      </c>
      <c r="C81" s="10" t="str">
        <f>VLOOKUP(B81,Dosen!$A:$D,4,FALSE())</f>
        <v>Faculty of Intelligent Electrical and Informatics Technology</v>
      </c>
      <c r="D81" s="10">
        <f>VLOOKUP(A81,Publikasi!$A:$G,5,FALSE())</f>
        <v>0.49</v>
      </c>
      <c r="E81" s="10" t="str">
        <f>VLOOKUP(A81,Publikasi!$A:$G,4,FALSE())</f>
        <v>Engineering and Technology</v>
      </c>
      <c r="F81" s="10">
        <f>VLOOKUP(A81,Publikasi!$A:$G,3,FALSE())</f>
        <v>2025</v>
      </c>
    </row>
    <row r="82" spans="1:6" x14ac:dyDescent="0.25">
      <c r="A82" s="9" t="s">
        <v>383</v>
      </c>
      <c r="B82" s="9" t="s">
        <v>87</v>
      </c>
      <c r="C82" s="10" t="str">
        <f>VLOOKUP(B82,Dosen!$A:$D,4,FALSE())</f>
        <v>Faculty of Intelligent Electrical and Informatics Technology</v>
      </c>
      <c r="D82" s="10">
        <f>VLOOKUP(A82,Publikasi!$A:$G,5,FALSE())</f>
        <v>0.28000000000000003</v>
      </c>
      <c r="E82" s="10" t="str">
        <f>VLOOKUP(A82,Publikasi!$A:$G,4,FALSE())</f>
        <v>Engineering and Technology</v>
      </c>
      <c r="F82" s="10">
        <f>VLOOKUP(A82,Publikasi!$A:$G,3,FALSE())</f>
        <v>2023</v>
      </c>
    </row>
    <row r="83" spans="1:6" x14ac:dyDescent="0.25">
      <c r="A83" s="9" t="s">
        <v>385</v>
      </c>
      <c r="B83" s="9" t="s">
        <v>87</v>
      </c>
      <c r="C83" s="10" t="str">
        <f>VLOOKUP(B83,Dosen!$A:$D,4,FALSE())</f>
        <v>Faculty of Intelligent Electrical and Informatics Technology</v>
      </c>
      <c r="D83" s="10">
        <f>VLOOKUP(A83,Publikasi!$A:$G,5,FALSE())</f>
        <v>0.36</v>
      </c>
      <c r="E83" s="10" t="str">
        <f>VLOOKUP(A83,Publikasi!$A:$G,4,FALSE())</f>
        <v>Engineering and Technology</v>
      </c>
      <c r="F83" s="10">
        <f>VLOOKUP(A83,Publikasi!$A:$G,3,FALSE())</f>
        <v>2025</v>
      </c>
    </row>
    <row r="84" spans="1:6" x14ac:dyDescent="0.25">
      <c r="A84" s="9" t="s">
        <v>386</v>
      </c>
      <c r="B84" s="9" t="s">
        <v>87</v>
      </c>
      <c r="C84" s="10" t="str">
        <f>VLOOKUP(B84,Dosen!$A:$D,4,FALSE())</f>
        <v>Faculty of Intelligent Electrical and Informatics Technology</v>
      </c>
      <c r="D84" s="10">
        <f>VLOOKUP(A84,Publikasi!$A:$G,5,FALSE())</f>
        <v>0.39</v>
      </c>
      <c r="E84" s="10" t="str">
        <f>VLOOKUP(A84,Publikasi!$A:$G,4,FALSE())</f>
        <v>Engineering and Technology</v>
      </c>
      <c r="F84" s="10">
        <f>VLOOKUP(A84,Publikasi!$A:$G,3,FALSE())</f>
        <v>2025</v>
      </c>
    </row>
    <row r="85" spans="1:6" x14ac:dyDescent="0.25">
      <c r="A85" s="9" t="s">
        <v>387</v>
      </c>
      <c r="B85" s="9" t="s">
        <v>87</v>
      </c>
      <c r="C85" s="10" t="str">
        <f>VLOOKUP(B85,Dosen!$A:$D,4,FALSE())</f>
        <v>Faculty of Intelligent Electrical and Informatics Technology</v>
      </c>
      <c r="D85" s="10">
        <f>VLOOKUP(A85,Publikasi!$A:$G,5,FALSE())</f>
        <v>0.45</v>
      </c>
      <c r="E85" s="10" t="str">
        <f>VLOOKUP(A85,Publikasi!$A:$G,4,FALSE())</f>
        <v>Engineering and Technology</v>
      </c>
      <c r="F85" s="10">
        <f>VLOOKUP(A85,Publikasi!$A:$G,3,FALSE())</f>
        <v>2022</v>
      </c>
    </row>
    <row r="86" spans="1:6" x14ac:dyDescent="0.25">
      <c r="A86" s="9" t="s">
        <v>389</v>
      </c>
      <c r="B86" s="9" t="s">
        <v>87</v>
      </c>
      <c r="C86" s="10" t="str">
        <f>VLOOKUP(B86,Dosen!$A:$D,4,FALSE())</f>
        <v>Faculty of Intelligent Electrical and Informatics Technology</v>
      </c>
      <c r="D86" s="10">
        <f>VLOOKUP(A86,Publikasi!$A:$G,5,FALSE())</f>
        <v>0.27</v>
      </c>
      <c r="E86" s="10" t="str">
        <f>VLOOKUP(A86,Publikasi!$A:$G,4,FALSE())</f>
        <v>Engineering and Technology</v>
      </c>
      <c r="F86" s="10">
        <f>VLOOKUP(A86,Publikasi!$A:$G,3,FALSE())</f>
        <v>2022</v>
      </c>
    </row>
    <row r="87" spans="1:6" x14ac:dyDescent="0.25">
      <c r="A87" s="9" t="s">
        <v>390</v>
      </c>
      <c r="B87" s="9" t="s">
        <v>87</v>
      </c>
      <c r="C87" s="10" t="str">
        <f>VLOOKUP(B87,Dosen!$A:$D,4,FALSE())</f>
        <v>Faculty of Intelligent Electrical and Informatics Technology</v>
      </c>
      <c r="D87" s="10">
        <f>VLOOKUP(A87,Publikasi!$A:$G,5,FALSE())</f>
        <v>0.49</v>
      </c>
      <c r="E87" s="10" t="str">
        <f>VLOOKUP(A87,Publikasi!$A:$G,4,FALSE())</f>
        <v>Engineering and Technology</v>
      </c>
      <c r="F87" s="10">
        <f>VLOOKUP(A87,Publikasi!$A:$G,3,FALSE())</f>
        <v>2024</v>
      </c>
    </row>
    <row r="88" spans="1:6" x14ac:dyDescent="0.25">
      <c r="A88" s="9" t="s">
        <v>392</v>
      </c>
      <c r="B88" s="9" t="s">
        <v>87</v>
      </c>
      <c r="C88" s="10" t="str">
        <f>VLOOKUP(B88,Dosen!$A:$D,4,FALSE())</f>
        <v>Faculty of Intelligent Electrical and Informatics Technology</v>
      </c>
      <c r="D88" s="10">
        <f>VLOOKUP(A88,Publikasi!$A:$G,5,FALSE())</f>
        <v>0.32</v>
      </c>
      <c r="E88" s="10" t="str">
        <f>VLOOKUP(A88,Publikasi!$A:$G,4,FALSE())</f>
        <v>Engineering and Technology</v>
      </c>
      <c r="F88" s="10">
        <f>VLOOKUP(A88,Publikasi!$A:$G,3,FALSE())</f>
        <v>2022</v>
      </c>
    </row>
    <row r="89" spans="1:6" x14ac:dyDescent="0.25">
      <c r="A89" s="9" t="s">
        <v>393</v>
      </c>
      <c r="B89" s="9" t="s">
        <v>87</v>
      </c>
      <c r="C89" s="10" t="str">
        <f>VLOOKUP(B89,Dosen!$A:$D,4,FALSE())</f>
        <v>Faculty of Intelligent Electrical and Informatics Technology</v>
      </c>
      <c r="D89" s="10">
        <f>VLOOKUP(A89,Publikasi!$A:$G,5,FALSE())</f>
        <v>0.41</v>
      </c>
      <c r="E89" s="10" t="str">
        <f>VLOOKUP(A89,Publikasi!$A:$G,4,FALSE())</f>
        <v>Engineering and Technology</v>
      </c>
      <c r="F89" s="10">
        <f>VLOOKUP(A89,Publikasi!$A:$G,3,FALSE())</f>
        <v>2023</v>
      </c>
    </row>
    <row r="90" spans="1:6" x14ac:dyDescent="0.25">
      <c r="A90" s="9" t="s">
        <v>394</v>
      </c>
      <c r="B90" s="9" t="s">
        <v>87</v>
      </c>
      <c r="C90" s="10" t="str">
        <f>VLOOKUP(B90,Dosen!$A:$D,4,FALSE())</f>
        <v>Faculty of Intelligent Electrical and Informatics Technology</v>
      </c>
      <c r="D90" s="10">
        <f>VLOOKUP(A90,Publikasi!$A:$G,5,FALSE())</f>
        <v>0.38</v>
      </c>
      <c r="E90" s="10" t="str">
        <f>VLOOKUP(A90,Publikasi!$A:$G,4,FALSE())</f>
        <v>Engineering and Technology</v>
      </c>
      <c r="F90" s="10">
        <f>VLOOKUP(A90,Publikasi!$A:$G,3,FALSE())</f>
        <v>2023</v>
      </c>
    </row>
    <row r="91" spans="1:6" x14ac:dyDescent="0.25">
      <c r="A91" s="9" t="s">
        <v>395</v>
      </c>
      <c r="B91" s="9" t="s">
        <v>89</v>
      </c>
      <c r="C91" s="10" t="str">
        <f>VLOOKUP(B91,Dosen!$A:$D,4,FALSE())</f>
        <v>Faculty of Intelligent Electrical and Informatics Technology</v>
      </c>
      <c r="D91" s="10">
        <f>VLOOKUP(A91,Publikasi!$A:$G,5,FALSE())</f>
        <v>1.87</v>
      </c>
      <c r="E91" s="10" t="str">
        <f>VLOOKUP(A91,Publikasi!$A:$G,4,FALSE())</f>
        <v>Engineering and Technology</v>
      </c>
      <c r="F91" s="10">
        <f>VLOOKUP(A91,Publikasi!$A:$G,3,FALSE())</f>
        <v>2025</v>
      </c>
    </row>
    <row r="92" spans="1:6" x14ac:dyDescent="0.25">
      <c r="A92" s="9" t="s">
        <v>397</v>
      </c>
      <c r="B92" s="9" t="s">
        <v>89</v>
      </c>
      <c r="C92" s="10" t="str">
        <f>VLOOKUP(B92,Dosen!$A:$D,4,FALSE())</f>
        <v>Faculty of Intelligent Electrical and Informatics Technology</v>
      </c>
      <c r="D92" s="10">
        <f>VLOOKUP(A92,Publikasi!$A:$G,5,FALSE())</f>
        <v>0.47</v>
      </c>
      <c r="E92" s="10" t="str">
        <f>VLOOKUP(A92,Publikasi!$A:$G,4,FALSE())</f>
        <v>Arts and Humanities</v>
      </c>
      <c r="F92" s="10">
        <f>VLOOKUP(A92,Publikasi!$A:$G,3,FALSE())</f>
        <v>2025</v>
      </c>
    </row>
    <row r="93" spans="1:6" x14ac:dyDescent="0.25">
      <c r="A93" s="9" t="s">
        <v>398</v>
      </c>
      <c r="B93" s="9" t="s">
        <v>91</v>
      </c>
      <c r="C93" s="10" t="str">
        <f>VLOOKUP(B93,Dosen!$A:$D,4,FALSE())</f>
        <v>Faculty of Intelligent Electrical and Informatics Technology</v>
      </c>
      <c r="D93" s="10">
        <f>VLOOKUP(A93,Publikasi!$A:$G,5,FALSE())</f>
        <v>1.87</v>
      </c>
      <c r="E93" s="10" t="str">
        <f>VLOOKUP(A93,Publikasi!$A:$G,4,FALSE())</f>
        <v>Engineering and Technology</v>
      </c>
      <c r="F93" s="10">
        <f>VLOOKUP(A93,Publikasi!$A:$G,3,FALSE())</f>
        <v>2026</v>
      </c>
    </row>
    <row r="94" spans="1:6" x14ac:dyDescent="0.25">
      <c r="A94" s="9" t="s">
        <v>400</v>
      </c>
      <c r="B94" s="9" t="s">
        <v>91</v>
      </c>
      <c r="C94" s="10" t="str">
        <f>VLOOKUP(B94,Dosen!$A:$D,4,FALSE())</f>
        <v>Faculty of Intelligent Electrical and Informatics Technology</v>
      </c>
      <c r="D94" s="10">
        <f>VLOOKUP(A94,Publikasi!$A:$G,5,FALSE())</f>
        <v>1.1299999999999999</v>
      </c>
      <c r="E94" s="10" t="str">
        <f>VLOOKUP(A94,Publikasi!$A:$G,4,FALSE())</f>
        <v>Engineering and Technology</v>
      </c>
      <c r="F94" s="10">
        <f>VLOOKUP(A94,Publikasi!$A:$G,3,FALSE())</f>
        <v>2023</v>
      </c>
    </row>
    <row r="95" spans="1:6" x14ac:dyDescent="0.25">
      <c r="A95" s="9" t="s">
        <v>402</v>
      </c>
      <c r="B95" s="9" t="s">
        <v>91</v>
      </c>
      <c r="C95" s="10" t="str">
        <f>VLOOKUP(B95,Dosen!$A:$D,4,FALSE())</f>
        <v>Faculty of Intelligent Electrical and Informatics Technology</v>
      </c>
      <c r="D95" s="10">
        <f>VLOOKUP(A95,Publikasi!$A:$G,5,FALSE())</f>
        <v>0.57999999999999996</v>
      </c>
      <c r="E95" s="10" t="str">
        <f>VLOOKUP(A95,Publikasi!$A:$G,4,FALSE())</f>
        <v>Engineering and Technology</v>
      </c>
      <c r="F95" s="10">
        <f>VLOOKUP(A95,Publikasi!$A:$G,3,FALSE())</f>
        <v>2023</v>
      </c>
    </row>
    <row r="96" spans="1:6" x14ac:dyDescent="0.25">
      <c r="A96" s="9" t="s">
        <v>403</v>
      </c>
      <c r="B96" s="9" t="s">
        <v>93</v>
      </c>
      <c r="C96" s="10" t="str">
        <f>VLOOKUP(B96,Dosen!$A:$D,4,FALSE())</f>
        <v>Faculty of Intelligent Electrical and Informatics Technology</v>
      </c>
      <c r="D96" s="10">
        <f>VLOOKUP(A96,Publikasi!$A:$G,5,FALSE())</f>
        <v>1.63</v>
      </c>
      <c r="E96" s="10" t="str">
        <f>VLOOKUP(A96,Publikasi!$A:$G,4,FALSE())</f>
        <v>Engineering and Technology</v>
      </c>
      <c r="F96" s="10">
        <f>VLOOKUP(A96,Publikasi!$A:$G,3,FALSE())</f>
        <v>2025</v>
      </c>
    </row>
    <row r="97" spans="1:6" x14ac:dyDescent="0.25">
      <c r="A97" s="9" t="s">
        <v>405</v>
      </c>
      <c r="B97" s="9" t="s">
        <v>95</v>
      </c>
      <c r="C97" s="10" t="str">
        <f>VLOOKUP(B97,Dosen!$A:$D,4,FALSE())</f>
        <v>Faculty of Civil, Planning, and Geo-Engineering</v>
      </c>
      <c r="D97" s="10">
        <f>VLOOKUP(A97,Publikasi!$A:$G,5,FALSE())</f>
        <v>1.93</v>
      </c>
      <c r="E97" s="10" t="str">
        <f>VLOOKUP(A97,Publikasi!$A:$G,4,FALSE())</f>
        <v>Engineering and Technology</v>
      </c>
      <c r="F97" s="10">
        <f>VLOOKUP(A97,Publikasi!$A:$G,3,FALSE())</f>
        <v>2024</v>
      </c>
    </row>
    <row r="98" spans="1:6" x14ac:dyDescent="0.25">
      <c r="A98" s="9" t="s">
        <v>407</v>
      </c>
      <c r="B98" s="9" t="s">
        <v>95</v>
      </c>
      <c r="C98" s="10" t="str">
        <f>VLOOKUP(B98,Dosen!$A:$D,4,FALSE())</f>
        <v>Faculty of Civil, Planning, and Geo-Engineering</v>
      </c>
      <c r="D98" s="10">
        <f>VLOOKUP(A98,Publikasi!$A:$G,5,FALSE())</f>
        <v>1.1299999999999999</v>
      </c>
      <c r="E98" s="10" t="str">
        <f>VLOOKUP(A98,Publikasi!$A:$G,4,FALSE())</f>
        <v>Engineering and Technology</v>
      </c>
      <c r="F98" s="10">
        <f>VLOOKUP(A98,Publikasi!$A:$G,3,FALSE())</f>
        <v>2026</v>
      </c>
    </row>
    <row r="99" spans="1:6" x14ac:dyDescent="0.25">
      <c r="A99" s="9" t="s">
        <v>409</v>
      </c>
      <c r="B99" s="9" t="s">
        <v>97</v>
      </c>
      <c r="C99" s="10" t="str">
        <f>VLOOKUP(B99,Dosen!$A:$D,4,FALSE())</f>
        <v>Faculty of Civil, Planning, and Geo-Engineering</v>
      </c>
      <c r="D99" s="10">
        <f>VLOOKUP(A99,Publikasi!$A:$G,5,FALSE())</f>
        <v>0.4</v>
      </c>
      <c r="E99" s="10" t="str">
        <f>VLOOKUP(A99,Publikasi!$A:$G,4,FALSE())</f>
        <v>Engineering and Technology</v>
      </c>
      <c r="F99" s="10">
        <f>VLOOKUP(A99,Publikasi!$A:$G,3,FALSE())</f>
        <v>2024</v>
      </c>
    </row>
    <row r="100" spans="1:6" x14ac:dyDescent="0.25">
      <c r="A100" s="9" t="s">
        <v>411</v>
      </c>
      <c r="B100" s="9" t="s">
        <v>99</v>
      </c>
      <c r="C100" s="10" t="str">
        <f>VLOOKUP(B100,Dosen!$A:$D,4,FALSE())</f>
        <v>Faculty of Civil, Planning, and Geo-Engineering</v>
      </c>
      <c r="D100" s="10">
        <f>VLOOKUP(A100,Publikasi!$A:$G,5,FALSE())</f>
        <v>0.83</v>
      </c>
      <c r="E100" s="10" t="str">
        <f>VLOOKUP(A100,Publikasi!$A:$G,4,FALSE())</f>
        <v>Engineering and Technology</v>
      </c>
      <c r="F100" s="10">
        <f>VLOOKUP(A100,Publikasi!$A:$G,3,FALSE())</f>
        <v>2026</v>
      </c>
    </row>
    <row r="101" spans="1:6" x14ac:dyDescent="0.25">
      <c r="A101" s="9" t="s">
        <v>413</v>
      </c>
      <c r="B101" s="9" t="s">
        <v>99</v>
      </c>
      <c r="C101" s="10" t="str">
        <f>VLOOKUP(B101,Dosen!$A:$D,4,FALSE())</f>
        <v>Faculty of Civil, Planning, and Geo-Engineering</v>
      </c>
      <c r="D101" s="10">
        <f>VLOOKUP(A101,Publikasi!$A:$G,5,FALSE())</f>
        <v>1.1499999999999999</v>
      </c>
      <c r="E101" s="10" t="str">
        <f>VLOOKUP(A101,Publikasi!$A:$G,4,FALSE())</f>
        <v>Engineering and Technology</v>
      </c>
      <c r="F101" s="10">
        <f>VLOOKUP(A101,Publikasi!$A:$G,3,FALSE())</f>
        <v>2022</v>
      </c>
    </row>
    <row r="102" spans="1:6" x14ac:dyDescent="0.25">
      <c r="A102" s="9" t="s">
        <v>415</v>
      </c>
      <c r="B102" s="9" t="s">
        <v>99</v>
      </c>
      <c r="C102" s="10" t="str">
        <f>VLOOKUP(B102,Dosen!$A:$D,4,FALSE())</f>
        <v>Faculty of Civil, Planning, and Geo-Engineering</v>
      </c>
      <c r="D102" s="10">
        <f>VLOOKUP(A102,Publikasi!$A:$G,5,FALSE())</f>
        <v>1.93</v>
      </c>
      <c r="E102" s="10" t="str">
        <f>VLOOKUP(A102,Publikasi!$A:$G,4,FALSE())</f>
        <v>Engineering and Technology</v>
      </c>
      <c r="F102" s="10">
        <f>VLOOKUP(A102,Publikasi!$A:$G,3,FALSE())</f>
        <v>2026</v>
      </c>
    </row>
    <row r="103" spans="1:6" x14ac:dyDescent="0.25">
      <c r="A103" s="9" t="s">
        <v>416</v>
      </c>
      <c r="B103" s="9" t="s">
        <v>101</v>
      </c>
      <c r="C103" s="10" t="str">
        <f>VLOOKUP(B103,Dosen!$A:$D,4,FALSE())</f>
        <v>Faculty of Civil, Planning, and Geo-Engineering</v>
      </c>
      <c r="D103" s="10">
        <f>VLOOKUP(A103,Publikasi!$A:$G,5,FALSE())</f>
        <v>0.42</v>
      </c>
      <c r="E103" s="10" t="str">
        <f>VLOOKUP(A103,Publikasi!$A:$G,4,FALSE())</f>
        <v>Engineering and Technology</v>
      </c>
      <c r="F103" s="10">
        <f>VLOOKUP(A103,Publikasi!$A:$G,3,FALSE())</f>
        <v>2023</v>
      </c>
    </row>
    <row r="104" spans="1:6" x14ac:dyDescent="0.25">
      <c r="A104" s="9" t="s">
        <v>418</v>
      </c>
      <c r="B104" s="9" t="s">
        <v>103</v>
      </c>
      <c r="C104" s="10" t="str">
        <f>VLOOKUP(B104,Dosen!$A:$D,4,FALSE())</f>
        <v>Faculty of Industrial Technology and System Engineering</v>
      </c>
      <c r="D104" s="10">
        <f>VLOOKUP(A104,Publikasi!$A:$G,5,FALSE())</f>
        <v>1.81</v>
      </c>
      <c r="E104" s="10" t="str">
        <f>VLOOKUP(A104,Publikasi!$A:$G,4,FALSE())</f>
        <v>Engineering and Technology</v>
      </c>
      <c r="F104" s="10">
        <f>VLOOKUP(A104,Publikasi!$A:$G,3,FALSE())</f>
        <v>2025</v>
      </c>
    </row>
    <row r="105" spans="1:6" x14ac:dyDescent="0.25">
      <c r="A105" s="9" t="s">
        <v>420</v>
      </c>
      <c r="B105" s="9" t="s">
        <v>105</v>
      </c>
      <c r="C105" s="10" t="str">
        <f>VLOOKUP(B105,Dosen!$A:$D,4,FALSE())</f>
        <v>Faculty of Industrial Technology and System Engineering</v>
      </c>
      <c r="D105" s="10">
        <f>VLOOKUP(A105,Publikasi!$A:$G,5,FALSE())</f>
        <v>1.35</v>
      </c>
      <c r="E105" s="10" t="str">
        <f>VLOOKUP(A105,Publikasi!$A:$G,4,FALSE())</f>
        <v>Engineering and Technology</v>
      </c>
      <c r="F105" s="10">
        <f>VLOOKUP(A105,Publikasi!$A:$G,3,FALSE())</f>
        <v>2026</v>
      </c>
    </row>
    <row r="106" spans="1:6" x14ac:dyDescent="0.25">
      <c r="A106" s="9" t="s">
        <v>422</v>
      </c>
      <c r="B106" s="9" t="s">
        <v>107</v>
      </c>
      <c r="C106" s="10" t="str">
        <f>VLOOKUP(B106,Dosen!$A:$D,4,FALSE())</f>
        <v>Faculty of Industrial Technology and System Engineering</v>
      </c>
      <c r="D106" s="10">
        <f>VLOOKUP(A106,Publikasi!$A:$G,5,FALSE())</f>
        <v>0.84</v>
      </c>
      <c r="E106" s="10" t="str">
        <f>VLOOKUP(A106,Publikasi!$A:$G,4,FALSE())</f>
        <v>Engineering and Technology</v>
      </c>
      <c r="F106" s="10">
        <f>VLOOKUP(A106,Publikasi!$A:$G,3,FALSE())</f>
        <v>2026</v>
      </c>
    </row>
    <row r="107" spans="1:6" x14ac:dyDescent="0.25">
      <c r="A107" s="9" t="s">
        <v>424</v>
      </c>
      <c r="B107" s="9" t="s">
        <v>107</v>
      </c>
      <c r="C107" s="10" t="str">
        <f>VLOOKUP(B107,Dosen!$A:$D,4,FALSE())</f>
        <v>Faculty of Industrial Technology and System Engineering</v>
      </c>
      <c r="D107" s="10">
        <f>VLOOKUP(A107,Publikasi!$A:$G,5,FALSE())</f>
        <v>1.52</v>
      </c>
      <c r="E107" s="10" t="str">
        <f>VLOOKUP(A107,Publikasi!$A:$G,4,FALSE())</f>
        <v>Engineering and Technology</v>
      </c>
      <c r="F107" s="10">
        <f>VLOOKUP(A107,Publikasi!$A:$G,3,FALSE())</f>
        <v>2024</v>
      </c>
    </row>
    <row r="108" spans="1:6" x14ac:dyDescent="0.25">
      <c r="A108" s="9" t="s">
        <v>426</v>
      </c>
      <c r="B108" s="9" t="s">
        <v>109</v>
      </c>
      <c r="C108" s="10" t="str">
        <f>VLOOKUP(B108,Dosen!$A:$D,4,FALSE())</f>
        <v>Faculty of Industrial Technology and System Engineering</v>
      </c>
      <c r="D108" s="10">
        <f>VLOOKUP(A108,Publikasi!$A:$G,5,FALSE())</f>
        <v>1.44</v>
      </c>
      <c r="E108" s="10" t="str">
        <f>VLOOKUP(A108,Publikasi!$A:$G,4,FALSE())</f>
        <v>Engineering and Technology</v>
      </c>
      <c r="F108" s="10">
        <f>VLOOKUP(A108,Publikasi!$A:$G,3,FALSE())</f>
        <v>2024</v>
      </c>
    </row>
    <row r="109" spans="1:6" x14ac:dyDescent="0.25">
      <c r="A109" s="9" t="s">
        <v>428</v>
      </c>
      <c r="B109" s="9" t="s">
        <v>111</v>
      </c>
      <c r="C109" s="10" t="str">
        <f>VLOOKUP(B109,Dosen!$A:$D,4,FALSE())</f>
        <v>Faculty of Creative Design and Digital Business</v>
      </c>
      <c r="D109" s="10">
        <f>VLOOKUP(A109,Publikasi!$A:$G,5,FALSE())</f>
        <v>1.58</v>
      </c>
      <c r="E109" s="10" t="str">
        <f>VLOOKUP(A109,Publikasi!$A:$G,4,FALSE())</f>
        <v>Arts and Humanities</v>
      </c>
      <c r="F109" s="10">
        <f>VLOOKUP(A109,Publikasi!$A:$G,3,FALSE())</f>
        <v>2025</v>
      </c>
    </row>
    <row r="110" spans="1:6" x14ac:dyDescent="0.25">
      <c r="A110" s="9" t="s">
        <v>430</v>
      </c>
      <c r="B110" s="9" t="s">
        <v>111</v>
      </c>
      <c r="C110" s="10" t="str">
        <f>VLOOKUP(B110,Dosen!$A:$D,4,FALSE())</f>
        <v>Faculty of Creative Design and Digital Business</v>
      </c>
      <c r="D110" s="10">
        <f>VLOOKUP(A110,Publikasi!$A:$G,5,FALSE())</f>
        <v>1.36</v>
      </c>
      <c r="E110" s="10" t="str">
        <f>VLOOKUP(A110,Publikasi!$A:$G,4,FALSE())</f>
        <v>Arts and Humanities</v>
      </c>
      <c r="F110" s="10">
        <f>VLOOKUP(A110,Publikasi!$A:$G,3,FALSE())</f>
        <v>2022</v>
      </c>
    </row>
    <row r="111" spans="1:6" x14ac:dyDescent="0.25">
      <c r="A111" s="9" t="s">
        <v>432</v>
      </c>
      <c r="B111" s="9" t="s">
        <v>113</v>
      </c>
      <c r="C111" s="10" t="str">
        <f>VLOOKUP(B111,Dosen!$A:$D,4,FALSE())</f>
        <v>Faculty of Creative Design and Digital Business</v>
      </c>
      <c r="D111" s="10">
        <f>VLOOKUP(A111,Publikasi!$A:$G,5,FALSE())</f>
        <v>0.66</v>
      </c>
      <c r="E111" s="10" t="str">
        <f>VLOOKUP(A111,Publikasi!$A:$G,4,FALSE())</f>
        <v>Arts and Humanities</v>
      </c>
      <c r="F111" s="10">
        <f>VLOOKUP(A111,Publikasi!$A:$G,3,FALSE())</f>
        <v>2022</v>
      </c>
    </row>
    <row r="112" spans="1:6" x14ac:dyDescent="0.25">
      <c r="A112" s="9" t="s">
        <v>434</v>
      </c>
      <c r="B112" s="9" t="s">
        <v>113</v>
      </c>
      <c r="C112" s="10" t="str">
        <f>VLOOKUP(B112,Dosen!$A:$D,4,FALSE())</f>
        <v>Faculty of Creative Design and Digital Business</v>
      </c>
      <c r="D112" s="10">
        <f>VLOOKUP(A112,Publikasi!$A:$G,5,FALSE())</f>
        <v>0.89</v>
      </c>
      <c r="E112" s="10" t="str">
        <f>VLOOKUP(A112,Publikasi!$A:$G,4,FALSE())</f>
        <v>Arts and Humanities</v>
      </c>
      <c r="F112" s="10">
        <f>VLOOKUP(A112,Publikasi!$A:$G,3,FALSE())</f>
        <v>2024</v>
      </c>
    </row>
    <row r="113" spans="1:6" x14ac:dyDescent="0.25">
      <c r="A113" s="9" t="s">
        <v>436</v>
      </c>
      <c r="B113" s="9" t="s">
        <v>113</v>
      </c>
      <c r="C113" s="10" t="str">
        <f>VLOOKUP(B113,Dosen!$A:$D,4,FALSE())</f>
        <v>Faculty of Creative Design and Digital Business</v>
      </c>
      <c r="D113" s="10">
        <f>VLOOKUP(A113,Publikasi!$A:$G,5,FALSE())</f>
        <v>0.78</v>
      </c>
      <c r="E113" s="10" t="str">
        <f>VLOOKUP(A113,Publikasi!$A:$G,4,FALSE())</f>
        <v>Life Sciences and Medicine</v>
      </c>
      <c r="F113" s="10">
        <f>VLOOKUP(A113,Publikasi!$A:$G,3,FALSE())</f>
        <v>2022</v>
      </c>
    </row>
    <row r="114" spans="1:6" x14ac:dyDescent="0.25">
      <c r="A114" s="9" t="s">
        <v>437</v>
      </c>
      <c r="B114" s="9" t="s">
        <v>115</v>
      </c>
      <c r="C114" s="10" t="str">
        <f>VLOOKUP(B114,Dosen!$A:$D,4,FALSE())</f>
        <v>Faculty of Creative Design and Digital Business</v>
      </c>
      <c r="D114" s="10">
        <f>VLOOKUP(A114,Publikasi!$A:$G,5,FALSE())</f>
        <v>1.34</v>
      </c>
      <c r="E114" s="10" t="str">
        <f>VLOOKUP(A114,Publikasi!$A:$G,4,FALSE())</f>
        <v>Arts and Humanities</v>
      </c>
      <c r="F114" s="10">
        <f>VLOOKUP(A114,Publikasi!$A:$G,3,FALSE())</f>
        <v>2026</v>
      </c>
    </row>
    <row r="115" spans="1:6" x14ac:dyDescent="0.25">
      <c r="A115" s="9" t="s">
        <v>439</v>
      </c>
      <c r="B115" s="9" t="s">
        <v>115</v>
      </c>
      <c r="C115" s="10" t="str">
        <f>VLOOKUP(B115,Dosen!$A:$D,4,FALSE())</f>
        <v>Faculty of Creative Design and Digital Business</v>
      </c>
      <c r="D115" s="10">
        <f>VLOOKUP(A115,Publikasi!$A:$G,5,FALSE())</f>
        <v>1.69</v>
      </c>
      <c r="E115" s="10" t="str">
        <f>VLOOKUP(A115,Publikasi!$A:$G,4,FALSE())</f>
        <v>Arts and Humanities</v>
      </c>
      <c r="F115" s="10">
        <f>VLOOKUP(A115,Publikasi!$A:$G,3,FALSE())</f>
        <v>2026</v>
      </c>
    </row>
    <row r="116" spans="1:6" x14ac:dyDescent="0.25">
      <c r="A116" s="9" t="s">
        <v>440</v>
      </c>
      <c r="B116" s="9" t="s">
        <v>117</v>
      </c>
      <c r="C116" s="10" t="str">
        <f>VLOOKUP(B116,Dosen!$A:$D,4,FALSE())</f>
        <v>Faculty of Creative Design and Digital Business</v>
      </c>
      <c r="D116" s="10">
        <f>VLOOKUP(A116,Publikasi!$A:$G,5,FALSE())</f>
        <v>0.75</v>
      </c>
      <c r="E116" s="10" t="str">
        <f>VLOOKUP(A116,Publikasi!$A:$G,4,FALSE())</f>
        <v>Natural Sciences</v>
      </c>
      <c r="F116" s="10">
        <f>VLOOKUP(A116,Publikasi!$A:$G,3,FALSE())</f>
        <v>2022</v>
      </c>
    </row>
    <row r="117" spans="1:6" x14ac:dyDescent="0.25">
      <c r="A117" s="9" t="s">
        <v>442</v>
      </c>
      <c r="B117" s="9" t="s">
        <v>117</v>
      </c>
      <c r="C117" s="10" t="str">
        <f>VLOOKUP(B117,Dosen!$A:$D,4,FALSE())</f>
        <v>Faculty of Creative Design and Digital Business</v>
      </c>
      <c r="D117" s="10">
        <f>VLOOKUP(A117,Publikasi!$A:$G,5,FALSE())</f>
        <v>0.56000000000000005</v>
      </c>
      <c r="E117" s="10" t="str">
        <f>VLOOKUP(A117,Publikasi!$A:$G,4,FALSE())</f>
        <v>Arts and Humanities</v>
      </c>
      <c r="F117" s="10">
        <f>VLOOKUP(A117,Publikasi!$A:$G,3,FALSE())</f>
        <v>2022</v>
      </c>
    </row>
    <row r="118" spans="1:6" x14ac:dyDescent="0.25">
      <c r="A118" s="9" t="s">
        <v>443</v>
      </c>
      <c r="B118" s="9" t="s">
        <v>119</v>
      </c>
      <c r="C118" s="10" t="str">
        <f>VLOOKUP(B118,Dosen!$A:$D,4,FALSE())</f>
        <v>Faculty of Medicine and Health</v>
      </c>
      <c r="D118" s="10">
        <f>VLOOKUP(A118,Publikasi!$A:$G,5,FALSE())</f>
        <v>0.88</v>
      </c>
      <c r="E118" s="10" t="str">
        <f>VLOOKUP(A118,Publikasi!$A:$G,4,FALSE())</f>
        <v>Life Sciences and Medicine</v>
      </c>
      <c r="F118" s="10">
        <f>VLOOKUP(A118,Publikasi!$A:$G,3,FALSE())</f>
        <v>2026</v>
      </c>
    </row>
    <row r="119" spans="1:6" x14ac:dyDescent="0.25">
      <c r="A119" s="9" t="s">
        <v>445</v>
      </c>
      <c r="B119" s="9" t="s">
        <v>119</v>
      </c>
      <c r="C119" s="10" t="str">
        <f>VLOOKUP(B119,Dosen!$A:$D,4,FALSE())</f>
        <v>Faculty of Medicine and Health</v>
      </c>
      <c r="D119" s="10">
        <f>VLOOKUP(A119,Publikasi!$A:$G,5,FALSE())</f>
        <v>0.73</v>
      </c>
      <c r="E119" s="10" t="str">
        <f>VLOOKUP(A119,Publikasi!$A:$G,4,FALSE())</f>
        <v>Life Sciences and Medicine</v>
      </c>
      <c r="F119" s="10">
        <f>VLOOKUP(A119,Publikasi!$A:$G,3,FALSE())</f>
        <v>2024</v>
      </c>
    </row>
    <row r="120" spans="1:6" x14ac:dyDescent="0.25">
      <c r="A120" s="9" t="s">
        <v>447</v>
      </c>
      <c r="B120" s="9" t="s">
        <v>121</v>
      </c>
      <c r="C120" s="10" t="str">
        <f>VLOOKUP(B120,Dosen!$A:$D,4,FALSE())</f>
        <v>Faculty of Medicine and Health</v>
      </c>
      <c r="D120" s="10">
        <f>VLOOKUP(A120,Publikasi!$A:$G,5,FALSE())</f>
        <v>1.71</v>
      </c>
      <c r="E120" s="10" t="str">
        <f>VLOOKUP(A120,Publikasi!$A:$G,4,FALSE())</f>
        <v>Life Sciences and Medicine</v>
      </c>
      <c r="F120" s="10">
        <f>VLOOKUP(A120,Publikasi!$A:$G,3,FALSE())</f>
        <v>2022</v>
      </c>
    </row>
    <row r="121" spans="1:6" x14ac:dyDescent="0.25">
      <c r="A121" s="9" t="s">
        <v>449</v>
      </c>
      <c r="B121" s="9" t="s">
        <v>123</v>
      </c>
      <c r="C121" s="10" t="str">
        <f>VLOOKUP(B121,Dosen!$A:$D,4,FALSE())</f>
        <v>Faculty of Medicine and Health</v>
      </c>
      <c r="D121" s="10">
        <f>VLOOKUP(A121,Publikasi!$A:$G,5,FALSE())</f>
        <v>0.52</v>
      </c>
      <c r="E121" s="10" t="str">
        <f>VLOOKUP(A121,Publikasi!$A:$G,4,FALSE())</f>
        <v>Life Sciences and Medicine</v>
      </c>
      <c r="F121" s="10">
        <f>VLOOKUP(A121,Publikasi!$A:$G,3,FALSE())</f>
        <v>2022</v>
      </c>
    </row>
    <row r="122" spans="1:6" x14ac:dyDescent="0.25">
      <c r="A122" s="9" t="s">
        <v>451</v>
      </c>
      <c r="B122" s="9" t="s">
        <v>125</v>
      </c>
      <c r="C122" s="10" t="str">
        <f>VLOOKUP(B122,Dosen!$A:$D,4,FALSE())</f>
        <v>Faculty of Medicine and Health</v>
      </c>
      <c r="D122" s="10">
        <f>VLOOKUP(A122,Publikasi!$A:$G,5,FALSE())</f>
        <v>1.24</v>
      </c>
      <c r="E122" s="10" t="str">
        <f>VLOOKUP(A122,Publikasi!$A:$G,4,FALSE())</f>
        <v>Life Sciences and Medicine</v>
      </c>
      <c r="F122" s="10">
        <f>VLOOKUP(A122,Publikasi!$A:$G,3,FALSE())</f>
        <v>2023</v>
      </c>
    </row>
    <row r="123" spans="1:6" x14ac:dyDescent="0.25">
      <c r="A123" s="9" t="s">
        <v>453</v>
      </c>
      <c r="B123" s="9" t="s">
        <v>125</v>
      </c>
      <c r="C123" s="10" t="str">
        <f>VLOOKUP(B123,Dosen!$A:$D,4,FALSE())</f>
        <v>Faculty of Medicine and Health</v>
      </c>
      <c r="D123" s="10">
        <f>VLOOKUP(A123,Publikasi!$A:$G,5,FALSE())</f>
        <v>0.49</v>
      </c>
      <c r="E123" s="10" t="str">
        <f>VLOOKUP(A123,Publikasi!$A:$G,4,FALSE())</f>
        <v>Life Sciences and Medicine</v>
      </c>
      <c r="F123" s="10">
        <f>VLOOKUP(A123,Publikasi!$A:$G,3,FALSE())</f>
        <v>2025</v>
      </c>
    </row>
    <row r="124" spans="1:6" x14ac:dyDescent="0.25">
      <c r="A124" s="9" t="s">
        <v>455</v>
      </c>
      <c r="B124" s="9" t="s">
        <v>127</v>
      </c>
      <c r="C124" s="10" t="str">
        <f>VLOOKUP(B124,Dosen!$A:$D,4,FALSE())</f>
        <v>Faculty of Science and Data Analytics</v>
      </c>
      <c r="D124" s="10">
        <f>VLOOKUP(A124,Publikasi!$A:$G,5,FALSE())</f>
        <v>1.72</v>
      </c>
      <c r="E124" s="10" t="str">
        <f>VLOOKUP(A124,Publikasi!$A:$G,4,FALSE())</f>
        <v>Natural Sciences</v>
      </c>
      <c r="F124" s="10">
        <f>VLOOKUP(A124,Publikasi!$A:$G,3,FALSE())</f>
        <v>2023</v>
      </c>
    </row>
    <row r="125" spans="1:6" x14ac:dyDescent="0.25">
      <c r="A125" s="9" t="s">
        <v>457</v>
      </c>
      <c r="B125" s="9" t="s">
        <v>127</v>
      </c>
      <c r="C125" s="10" t="str">
        <f>VLOOKUP(B125,Dosen!$A:$D,4,FALSE())</f>
        <v>Faculty of Science and Data Analytics</v>
      </c>
      <c r="D125" s="10">
        <f>VLOOKUP(A125,Publikasi!$A:$G,5,FALSE())</f>
        <v>1.03</v>
      </c>
      <c r="E125" s="10" t="str">
        <f>VLOOKUP(A125,Publikasi!$A:$G,4,FALSE())</f>
        <v>Natural Sciences</v>
      </c>
      <c r="F125" s="10">
        <f>VLOOKUP(A125,Publikasi!$A:$G,3,FALSE())</f>
        <v>2026</v>
      </c>
    </row>
    <row r="126" spans="1:6" x14ac:dyDescent="0.25">
      <c r="A126" s="9" t="s">
        <v>459</v>
      </c>
      <c r="B126" s="9" t="s">
        <v>127</v>
      </c>
      <c r="C126" s="10" t="str">
        <f>VLOOKUP(B126,Dosen!$A:$D,4,FALSE())</f>
        <v>Faculty of Science and Data Analytics</v>
      </c>
      <c r="D126" s="10">
        <f>VLOOKUP(A126,Publikasi!$A:$G,5,FALSE())</f>
        <v>1.83</v>
      </c>
      <c r="E126" s="10" t="str">
        <f>VLOOKUP(A126,Publikasi!$A:$G,4,FALSE())</f>
        <v>Natural Sciences</v>
      </c>
      <c r="F126" s="10">
        <f>VLOOKUP(A126,Publikasi!$A:$G,3,FALSE())</f>
        <v>2022</v>
      </c>
    </row>
    <row r="127" spans="1:6" x14ac:dyDescent="0.25">
      <c r="A127" s="9" t="s">
        <v>461</v>
      </c>
      <c r="B127" s="9" t="s">
        <v>129</v>
      </c>
      <c r="C127" s="10" t="str">
        <f>VLOOKUP(B127,Dosen!$A:$D,4,FALSE())</f>
        <v>Faculty of Science and Data Analytics</v>
      </c>
      <c r="D127" s="10">
        <f>VLOOKUP(A127,Publikasi!$A:$G,5,FALSE())</f>
        <v>0.72</v>
      </c>
      <c r="E127" s="10" t="str">
        <f>VLOOKUP(A127,Publikasi!$A:$G,4,FALSE())</f>
        <v>Natural Sciences</v>
      </c>
      <c r="F127" s="10">
        <f>VLOOKUP(A127,Publikasi!$A:$G,3,FALSE())</f>
        <v>2024</v>
      </c>
    </row>
    <row r="128" spans="1:6" x14ac:dyDescent="0.25">
      <c r="A128" s="9" t="s">
        <v>463</v>
      </c>
      <c r="B128" s="9" t="s">
        <v>131</v>
      </c>
      <c r="C128" s="10" t="str">
        <f>VLOOKUP(B128,Dosen!$A:$D,4,FALSE())</f>
        <v>Faculty of Science and Data Analytics</v>
      </c>
      <c r="D128" s="10">
        <f>VLOOKUP(A128,Publikasi!$A:$G,5,FALSE())</f>
        <v>1.96</v>
      </c>
      <c r="E128" s="10" t="str">
        <f>VLOOKUP(A128,Publikasi!$A:$G,4,FALSE())</f>
        <v>Social Sciences and Management</v>
      </c>
      <c r="F128" s="10">
        <f>VLOOKUP(A128,Publikasi!$A:$G,3,FALSE())</f>
        <v>2024</v>
      </c>
    </row>
    <row r="129" spans="1:6" x14ac:dyDescent="0.25">
      <c r="A129" s="9" t="s">
        <v>465</v>
      </c>
      <c r="B129" s="9" t="s">
        <v>133</v>
      </c>
      <c r="C129" s="10" t="str">
        <f>VLOOKUP(B129,Dosen!$A:$D,4,FALSE())</f>
        <v>Faculty of Science and Data Analytics</v>
      </c>
      <c r="D129" s="10">
        <f>VLOOKUP(A129,Publikasi!$A:$G,5,FALSE())</f>
        <v>1.77</v>
      </c>
      <c r="E129" s="10" t="str">
        <f>VLOOKUP(A129,Publikasi!$A:$G,4,FALSE())</f>
        <v>Natural Sciences</v>
      </c>
      <c r="F129" s="10">
        <f>VLOOKUP(A129,Publikasi!$A:$G,3,FALSE())</f>
        <v>2023</v>
      </c>
    </row>
    <row r="130" spans="1:6" x14ac:dyDescent="0.25">
      <c r="A130" s="9" t="s">
        <v>467</v>
      </c>
      <c r="B130" s="9" t="s">
        <v>133</v>
      </c>
      <c r="C130" s="10" t="str">
        <f>VLOOKUP(B130,Dosen!$A:$D,4,FALSE())</f>
        <v>Faculty of Science and Data Analytics</v>
      </c>
      <c r="D130" s="10">
        <f>VLOOKUP(A130,Publikasi!$A:$G,5,FALSE())</f>
        <v>0.6</v>
      </c>
      <c r="E130" s="10" t="str">
        <f>VLOOKUP(A130,Publikasi!$A:$G,4,FALSE())</f>
        <v>Engineering and Technology</v>
      </c>
      <c r="F130" s="10">
        <f>VLOOKUP(A130,Publikasi!$A:$G,3,FALSE())</f>
        <v>2023</v>
      </c>
    </row>
    <row r="131" spans="1:6" x14ac:dyDescent="0.25">
      <c r="A131" s="9" t="s">
        <v>468</v>
      </c>
      <c r="B131" s="9" t="s">
        <v>133</v>
      </c>
      <c r="C131" s="10" t="str">
        <f>VLOOKUP(B131,Dosen!$A:$D,4,FALSE())</f>
        <v>Faculty of Science and Data Analytics</v>
      </c>
      <c r="D131" s="10">
        <f>VLOOKUP(A131,Publikasi!$A:$G,5,FALSE())</f>
        <v>1.66</v>
      </c>
      <c r="E131" s="10" t="str">
        <f>VLOOKUP(A131,Publikasi!$A:$G,4,FALSE())</f>
        <v>Social Sciences and Management</v>
      </c>
      <c r="F131" s="10">
        <f>VLOOKUP(A131,Publikasi!$A:$G,3,FALSE())</f>
        <v>2024</v>
      </c>
    </row>
    <row r="132" spans="1:6" x14ac:dyDescent="0.25">
      <c r="A132" s="9" t="s">
        <v>470</v>
      </c>
      <c r="B132" s="9" t="s">
        <v>135</v>
      </c>
      <c r="C132" s="10" t="str">
        <f>VLOOKUP(B132,Dosen!$A:$D,4,FALSE())</f>
        <v>Faculty of Vocation</v>
      </c>
      <c r="D132" s="10">
        <f>VLOOKUP(A132,Publikasi!$A:$G,5,FALSE())</f>
        <v>1.64</v>
      </c>
      <c r="E132" s="10" t="str">
        <f>VLOOKUP(A132,Publikasi!$A:$G,4,FALSE())</f>
        <v>Engineering and Technology</v>
      </c>
      <c r="F132" s="10">
        <f>VLOOKUP(A132,Publikasi!$A:$G,3,FALSE())</f>
        <v>2023</v>
      </c>
    </row>
    <row r="133" spans="1:6" x14ac:dyDescent="0.25">
      <c r="A133" s="9" t="s">
        <v>472</v>
      </c>
      <c r="B133" s="9" t="s">
        <v>135</v>
      </c>
      <c r="C133" s="10" t="str">
        <f>VLOOKUP(B133,Dosen!$A:$D,4,FALSE())</f>
        <v>Faculty of Vocation</v>
      </c>
      <c r="D133" s="10">
        <f>VLOOKUP(A133,Publikasi!$A:$G,5,FALSE())</f>
        <v>0.37</v>
      </c>
      <c r="E133" s="10" t="str">
        <f>VLOOKUP(A133,Publikasi!$A:$G,4,FALSE())</f>
        <v>Engineering and Technology</v>
      </c>
      <c r="F133" s="10">
        <f>VLOOKUP(A133,Publikasi!$A:$G,3,FALSE())</f>
        <v>2022</v>
      </c>
    </row>
    <row r="134" spans="1:6" x14ac:dyDescent="0.25">
      <c r="A134" s="9" t="s">
        <v>474</v>
      </c>
      <c r="B134" s="9" t="s">
        <v>135</v>
      </c>
      <c r="C134" s="10" t="str">
        <f>VLOOKUP(B134,Dosen!$A:$D,4,FALSE())</f>
        <v>Faculty of Vocation</v>
      </c>
      <c r="D134" s="10">
        <f>VLOOKUP(A134,Publikasi!$A:$G,5,FALSE())</f>
        <v>1.69</v>
      </c>
      <c r="E134" s="10" t="str">
        <f>VLOOKUP(A134,Publikasi!$A:$G,4,FALSE())</f>
        <v>Engineering and Technology</v>
      </c>
      <c r="F134" s="10">
        <f>VLOOKUP(A134,Publikasi!$A:$G,3,FALSE())</f>
        <v>2025</v>
      </c>
    </row>
    <row r="135" spans="1:6" x14ac:dyDescent="0.25">
      <c r="A135" s="9" t="s">
        <v>476</v>
      </c>
      <c r="B135" s="9" t="s">
        <v>137</v>
      </c>
      <c r="C135" s="10" t="str">
        <f>VLOOKUP(B135,Dosen!$A:$D,4,FALSE())</f>
        <v>Faculty of Vocation</v>
      </c>
      <c r="D135" s="10">
        <f>VLOOKUP(A135,Publikasi!$A:$G,5,FALSE())</f>
        <v>1.65</v>
      </c>
      <c r="E135" s="10" t="str">
        <f>VLOOKUP(A135,Publikasi!$A:$G,4,FALSE())</f>
        <v>Engineering and Technology</v>
      </c>
      <c r="F135" s="10">
        <f>VLOOKUP(A135,Publikasi!$A:$G,3,FALSE())</f>
        <v>2024</v>
      </c>
    </row>
    <row r="136" spans="1:6" x14ac:dyDescent="0.25">
      <c r="A136" s="9" t="s">
        <v>478</v>
      </c>
      <c r="B136" s="9" t="s">
        <v>137</v>
      </c>
      <c r="C136" s="10" t="str">
        <f>VLOOKUP(B136,Dosen!$A:$D,4,FALSE())</f>
        <v>Faculty of Vocation</v>
      </c>
      <c r="D136" s="10">
        <f>VLOOKUP(A136,Publikasi!$A:$G,5,FALSE())</f>
        <v>1.42</v>
      </c>
      <c r="E136" s="10" t="str">
        <f>VLOOKUP(A136,Publikasi!$A:$G,4,FALSE())</f>
        <v>Engineering and Technology</v>
      </c>
      <c r="F136" s="10">
        <f>VLOOKUP(A136,Publikasi!$A:$G,3,FALSE())</f>
        <v>2023</v>
      </c>
    </row>
    <row r="137" spans="1:6" x14ac:dyDescent="0.25">
      <c r="A137" s="9" t="s">
        <v>480</v>
      </c>
      <c r="B137" s="9" t="s">
        <v>139</v>
      </c>
      <c r="C137" s="10" t="str">
        <f>VLOOKUP(B137,Dosen!$A:$D,4,FALSE())</f>
        <v>Faculty of Vocation</v>
      </c>
      <c r="D137" s="10">
        <f>VLOOKUP(A137,Publikasi!$A:$G,5,FALSE())</f>
        <v>0.42</v>
      </c>
      <c r="E137" s="10" t="str">
        <f>VLOOKUP(A137,Publikasi!$A:$G,4,FALSE())</f>
        <v>Engineering and Technology</v>
      </c>
      <c r="F137" s="10">
        <f>VLOOKUP(A137,Publikasi!$A:$G,3,FALSE())</f>
        <v>2024</v>
      </c>
    </row>
    <row r="138" spans="1:6" x14ac:dyDescent="0.25">
      <c r="A138" s="9" t="s">
        <v>482</v>
      </c>
      <c r="B138" s="9" t="s">
        <v>139</v>
      </c>
      <c r="C138" s="10" t="str">
        <f>VLOOKUP(B138,Dosen!$A:$D,4,FALSE())</f>
        <v>Faculty of Vocation</v>
      </c>
      <c r="D138" s="10">
        <f>VLOOKUP(A138,Publikasi!$A:$G,5,FALSE())</f>
        <v>1.17</v>
      </c>
      <c r="E138" s="10" t="str">
        <f>VLOOKUP(A138,Publikasi!$A:$G,4,FALSE())</f>
        <v>Engineering and Technology</v>
      </c>
      <c r="F138" s="10">
        <f>VLOOKUP(A138,Publikasi!$A:$G,3,FALSE())</f>
        <v>2024</v>
      </c>
    </row>
    <row r="139" spans="1:6" x14ac:dyDescent="0.25">
      <c r="A139" s="9" t="s">
        <v>483</v>
      </c>
      <c r="B139" s="9" t="s">
        <v>141</v>
      </c>
      <c r="C139" s="10" t="str">
        <f>VLOOKUP(B139,Dosen!$A:$D,4,FALSE())</f>
        <v>Faculty of Vocation</v>
      </c>
      <c r="D139" s="10">
        <f>VLOOKUP(A139,Publikasi!$A:$G,5,FALSE())</f>
        <v>0.35</v>
      </c>
      <c r="E139" s="10" t="str">
        <f>VLOOKUP(A139,Publikasi!$A:$G,4,FALSE())</f>
        <v>Engineering and Technology</v>
      </c>
      <c r="F139" s="10">
        <f>VLOOKUP(A139,Publikasi!$A:$G,3,FALSE())</f>
        <v>2026</v>
      </c>
    </row>
    <row r="140" spans="1:6" x14ac:dyDescent="0.25">
      <c r="A140" s="9" t="s">
        <v>485</v>
      </c>
      <c r="B140" s="9" t="s">
        <v>141</v>
      </c>
      <c r="C140" s="10" t="str">
        <f>VLOOKUP(B140,Dosen!$A:$D,4,FALSE())</f>
        <v>Faculty of Vocation</v>
      </c>
      <c r="D140" s="10">
        <f>VLOOKUP(A140,Publikasi!$A:$G,5,FALSE())</f>
        <v>1.94</v>
      </c>
      <c r="E140" s="10" t="str">
        <f>VLOOKUP(A140,Publikasi!$A:$G,4,FALSE())</f>
        <v>Engineering and Technology</v>
      </c>
      <c r="F140" s="10">
        <f>VLOOKUP(A140,Publikasi!$A:$G,3,FALSE())</f>
        <v>2024</v>
      </c>
    </row>
    <row r="141" spans="1:6" x14ac:dyDescent="0.25">
      <c r="A141" s="9" t="s">
        <v>487</v>
      </c>
      <c r="B141" s="9" t="s">
        <v>141</v>
      </c>
      <c r="C141" s="10" t="str">
        <f>VLOOKUP(B141,Dosen!$A:$D,4,FALSE())</f>
        <v>Faculty of Vocation</v>
      </c>
      <c r="D141" s="10">
        <f>VLOOKUP(A141,Publikasi!$A:$G,5,FALSE())</f>
        <v>1.31</v>
      </c>
      <c r="E141" s="10" t="str">
        <f>VLOOKUP(A141,Publikasi!$A:$G,4,FALSE())</f>
        <v>Engineering and Technology</v>
      </c>
      <c r="F141" s="10">
        <f>VLOOKUP(A141,Publikasi!$A:$G,3,FALSE())</f>
        <v>2024</v>
      </c>
    </row>
    <row r="142" spans="1:6" x14ac:dyDescent="0.25">
      <c r="A142" s="9" t="s">
        <v>488</v>
      </c>
      <c r="B142" s="9" t="s">
        <v>143</v>
      </c>
      <c r="C142" s="10" t="str">
        <f>VLOOKUP(B142,Dosen!$A:$D,4,FALSE())</f>
        <v>School of Interdisciplinary Management and Technology</v>
      </c>
      <c r="D142" s="10">
        <f>VLOOKUP(A142,Publikasi!$A:$G,5,FALSE())</f>
        <v>1.97</v>
      </c>
      <c r="E142" s="10" t="str">
        <f>VLOOKUP(A142,Publikasi!$A:$G,4,FALSE())</f>
        <v>Social Sciences and Management</v>
      </c>
      <c r="F142" s="10">
        <f>VLOOKUP(A142,Publikasi!$A:$G,3,FALSE())</f>
        <v>2024</v>
      </c>
    </row>
    <row r="143" spans="1:6" x14ac:dyDescent="0.25">
      <c r="A143" s="9" t="s">
        <v>490</v>
      </c>
      <c r="B143" s="9" t="s">
        <v>143</v>
      </c>
      <c r="C143" s="10" t="str">
        <f>VLOOKUP(B143,Dosen!$A:$D,4,FALSE())</f>
        <v>School of Interdisciplinary Management and Technology</v>
      </c>
      <c r="D143" s="10">
        <f>VLOOKUP(A143,Publikasi!$A:$G,5,FALSE())</f>
        <v>1.28</v>
      </c>
      <c r="E143" s="10" t="str">
        <f>VLOOKUP(A143,Publikasi!$A:$G,4,FALSE())</f>
        <v>Social Sciences and Management</v>
      </c>
      <c r="F143" s="10">
        <f>VLOOKUP(A143,Publikasi!$A:$G,3,FALSE())</f>
        <v>2022</v>
      </c>
    </row>
    <row r="144" spans="1:6" x14ac:dyDescent="0.25">
      <c r="A144" s="9" t="s">
        <v>492</v>
      </c>
      <c r="B144" s="9" t="s">
        <v>145</v>
      </c>
      <c r="C144" s="10" t="str">
        <f>VLOOKUP(B144,Dosen!$A:$D,4,FALSE())</f>
        <v>School of Interdisciplinary Management and Technology</v>
      </c>
      <c r="D144" s="10">
        <f>VLOOKUP(A144,Publikasi!$A:$G,5,FALSE())</f>
        <v>0.3</v>
      </c>
      <c r="E144" s="10" t="str">
        <f>VLOOKUP(A144,Publikasi!$A:$G,4,FALSE())</f>
        <v>Social Sciences and Management</v>
      </c>
      <c r="F144" s="10">
        <f>VLOOKUP(A144,Publikasi!$A:$G,3,FALSE())</f>
        <v>2022</v>
      </c>
    </row>
    <row r="145" spans="1:6" x14ac:dyDescent="0.25">
      <c r="A145" s="9" t="s">
        <v>494</v>
      </c>
      <c r="B145" s="9" t="s">
        <v>145</v>
      </c>
      <c r="C145" s="10" t="str">
        <f>VLOOKUP(B145,Dosen!$A:$D,4,FALSE())</f>
        <v>School of Interdisciplinary Management and Technology</v>
      </c>
      <c r="D145" s="10">
        <f>VLOOKUP(A145,Publikasi!$A:$G,5,FALSE())</f>
        <v>1.9</v>
      </c>
      <c r="E145" s="10" t="str">
        <f>VLOOKUP(A145,Publikasi!$A:$G,4,FALSE())</f>
        <v>Social Sciences and Management</v>
      </c>
      <c r="F145" s="10">
        <f>VLOOKUP(A145,Publikasi!$A:$G,3,FALSE())</f>
        <v>2026</v>
      </c>
    </row>
    <row r="146" spans="1:6" x14ac:dyDescent="0.25">
      <c r="A146" s="9" t="s">
        <v>496</v>
      </c>
      <c r="B146" s="9" t="s">
        <v>147</v>
      </c>
      <c r="C146" s="10" t="str">
        <f>VLOOKUP(B146,Dosen!$A:$D,4,FALSE())</f>
        <v>School of Interdisciplinary Management and Technology</v>
      </c>
      <c r="D146" s="10">
        <f>VLOOKUP(A146,Publikasi!$A:$G,5,FALSE())</f>
        <v>0.42</v>
      </c>
      <c r="E146" s="10" t="str">
        <f>VLOOKUP(A146,Publikasi!$A:$G,4,FALSE())</f>
        <v>Social Sciences and Management</v>
      </c>
      <c r="F146" s="10">
        <f>VLOOKUP(A146,Publikasi!$A:$G,3,FALSE())</f>
        <v>2023</v>
      </c>
    </row>
    <row r="147" spans="1:6" x14ac:dyDescent="0.25">
      <c r="A147" s="9" t="s">
        <v>498</v>
      </c>
      <c r="B147" s="9" t="s">
        <v>147</v>
      </c>
      <c r="C147" s="10" t="str">
        <f>VLOOKUP(B147,Dosen!$A:$D,4,FALSE())</f>
        <v>School of Interdisciplinary Management and Technology</v>
      </c>
      <c r="D147" s="10">
        <f>VLOOKUP(A147,Publikasi!$A:$G,5,FALSE())</f>
        <v>1.43</v>
      </c>
      <c r="E147" s="10" t="str">
        <f>VLOOKUP(A147,Publikasi!$A:$G,4,FALSE())</f>
        <v>Social Sciences and Management</v>
      </c>
      <c r="F147" s="10">
        <f>VLOOKUP(A147,Publikasi!$A:$G,3,FALSE())</f>
        <v>2024</v>
      </c>
    </row>
    <row r="148" spans="1:6" x14ac:dyDescent="0.25">
      <c r="A148" s="9" t="s">
        <v>500</v>
      </c>
      <c r="B148" s="9" t="s">
        <v>147</v>
      </c>
      <c r="C148" s="10" t="str">
        <f>VLOOKUP(B148,Dosen!$A:$D,4,FALSE())</f>
        <v>School of Interdisciplinary Management and Technology</v>
      </c>
      <c r="D148" s="10">
        <f>VLOOKUP(A148,Publikasi!$A:$G,5,FALSE())</f>
        <v>0.81</v>
      </c>
      <c r="E148" s="10" t="str">
        <f>VLOOKUP(A148,Publikasi!$A:$G,4,FALSE())</f>
        <v>Social Sciences and Management</v>
      </c>
      <c r="F148" s="10">
        <f>VLOOKUP(A148,Publikasi!$A:$G,3,FALSE())</f>
        <v>2022</v>
      </c>
    </row>
    <row r="149" spans="1:6" x14ac:dyDescent="0.25">
      <c r="A149" s="9" t="s">
        <v>502</v>
      </c>
      <c r="B149" s="9" t="s">
        <v>149</v>
      </c>
      <c r="C149" s="10" t="str">
        <f>VLOOKUP(B149,Dosen!$A:$D,4,FALSE())</f>
        <v>School of Interdisciplinary Management and Technology</v>
      </c>
      <c r="D149" s="10">
        <f>VLOOKUP(A149,Publikasi!$A:$G,5,FALSE())</f>
        <v>1.49</v>
      </c>
      <c r="E149" s="10" t="str">
        <f>VLOOKUP(A149,Publikasi!$A:$G,4,FALSE())</f>
        <v>Social Sciences and Management</v>
      </c>
      <c r="F149" s="10">
        <f>VLOOKUP(A149,Publikasi!$A:$G,3,FALSE())</f>
        <v>2025</v>
      </c>
    </row>
    <row r="150" spans="1:6" x14ac:dyDescent="0.25">
      <c r="A150" s="9" t="s">
        <v>504</v>
      </c>
      <c r="B150" s="9" t="s">
        <v>149</v>
      </c>
      <c r="C150" s="10" t="str">
        <f>VLOOKUP(B150,Dosen!$A:$D,4,FALSE())</f>
        <v>School of Interdisciplinary Management and Technology</v>
      </c>
      <c r="D150" s="10">
        <f>VLOOKUP(A150,Publikasi!$A:$G,5,FALSE())</f>
        <v>1.01</v>
      </c>
      <c r="E150" s="10" t="str">
        <f>VLOOKUP(A150,Publikasi!$A:$G,4,FALSE())</f>
        <v>Social Sciences and Management</v>
      </c>
      <c r="F150" s="10">
        <f>VLOOKUP(A150,Publikasi!$A:$G,3,FALSE())</f>
        <v>2026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4"/>
  <sheetViews>
    <sheetView zoomScaleNormal="100" workbookViewId="0">
      <pane ySplit="1" topLeftCell="A2" activePane="bottomLeft" state="frozen"/>
      <selection pane="bottomLeft" activeCell="J2" sqref="A2:J14"/>
    </sheetView>
  </sheetViews>
  <sheetFormatPr defaultColWidth="8.7109375" defaultRowHeight="15" x14ac:dyDescent="0.25"/>
  <cols>
    <col min="1" max="1" width="8" customWidth="1"/>
    <col min="2" max="2" width="16" customWidth="1"/>
    <col min="3" max="3" width="48" customWidth="1"/>
    <col min="4" max="4" width="24" customWidth="1"/>
    <col min="5" max="5" width="16" customWidth="1"/>
    <col min="6" max="6" width="30" customWidth="1"/>
    <col min="7" max="7" width="21.5703125" customWidth="1"/>
    <col min="8" max="8" width="10" customWidth="1"/>
    <col min="9" max="10" width="30" customWidth="1"/>
  </cols>
  <sheetData>
    <row r="1" spans="1:10" ht="38.25" x14ac:dyDescent="0.25">
      <c r="A1" s="8" t="s">
        <v>12</v>
      </c>
      <c r="B1" s="8" t="s">
        <v>217</v>
      </c>
      <c r="C1" s="8" t="s">
        <v>221</v>
      </c>
      <c r="D1" s="8" t="s">
        <v>219</v>
      </c>
      <c r="E1" s="8" t="s">
        <v>511</v>
      </c>
      <c r="F1" s="8" t="s">
        <v>512</v>
      </c>
      <c r="G1" s="8" t="s">
        <v>513</v>
      </c>
      <c r="H1" s="8" t="s">
        <v>507</v>
      </c>
      <c r="I1" s="8" t="s">
        <v>514</v>
      </c>
      <c r="J1" s="8" t="s">
        <v>515</v>
      </c>
    </row>
    <row r="2" spans="1:10" x14ac:dyDescent="0.25">
      <c r="A2" s="9" t="s">
        <v>516</v>
      </c>
      <c r="B2" s="9" t="s">
        <v>171</v>
      </c>
      <c r="C2" s="9" t="s">
        <v>517</v>
      </c>
      <c r="D2" s="9" t="s">
        <v>236</v>
      </c>
      <c r="E2" s="9" t="s">
        <v>518</v>
      </c>
      <c r="F2" s="9" t="s">
        <v>519</v>
      </c>
      <c r="G2" s="9">
        <v>2027</v>
      </c>
      <c r="H2" s="9" t="s">
        <v>63</v>
      </c>
      <c r="I2" s="10" t="str">
        <f>VLOOKUP(B2,Institusi_Mitra!$A:$B,2,FALSE())</f>
        <v>TU Delft</v>
      </c>
      <c r="J2" s="10" t="str">
        <f>VLOOKUP(H2,Dosen!$A:$C,3,FALSE())</f>
        <v>I Gde Manik Sukanegara Adhita, S.T., M.MST., Ph.D.</v>
      </c>
    </row>
    <row r="3" spans="1:10" x14ac:dyDescent="0.25">
      <c r="A3" s="9" t="s">
        <v>520</v>
      </c>
      <c r="B3" s="9" t="s">
        <v>174</v>
      </c>
      <c r="C3" s="9" t="s">
        <v>521</v>
      </c>
      <c r="D3" s="9" t="s">
        <v>236</v>
      </c>
      <c r="E3" s="9" t="s">
        <v>522</v>
      </c>
      <c r="F3" s="9" t="s">
        <v>523</v>
      </c>
      <c r="G3" s="9">
        <v>2027</v>
      </c>
      <c r="H3" s="9" t="s">
        <v>67</v>
      </c>
      <c r="I3" s="10" t="str">
        <f>VLOOKUP(B3,Institusi_Mitra!$A:$B,2,FALSE())</f>
        <v>Universiti Kuala Lumpur</v>
      </c>
      <c r="J3" s="10" t="str">
        <f>VLOOKUP(H3,Dosen!$A:$C,3,FALSE())</f>
        <v>Erzad Iskandar Putra</v>
      </c>
    </row>
    <row r="4" spans="1:10" x14ac:dyDescent="0.25">
      <c r="A4" s="9" t="s">
        <v>524</v>
      </c>
      <c r="B4" s="9" t="s">
        <v>174</v>
      </c>
      <c r="C4" s="9" t="s">
        <v>525</v>
      </c>
      <c r="D4" s="9" t="s">
        <v>236</v>
      </c>
      <c r="E4" s="9" t="s">
        <v>526</v>
      </c>
      <c r="F4" s="9" t="s">
        <v>527</v>
      </c>
      <c r="G4" s="9">
        <v>2027</v>
      </c>
      <c r="H4" s="9" t="s">
        <v>67</v>
      </c>
      <c r="I4" s="10" t="str">
        <f>VLOOKUP(B4,Institusi_Mitra!$A:$B,2,FALSE())</f>
        <v>Universiti Kuala Lumpur</v>
      </c>
      <c r="J4" s="10" t="str">
        <f>VLOOKUP(H4,Dosen!$A:$C,3,FALSE())</f>
        <v>Erzad Iskandar Putra</v>
      </c>
    </row>
    <row r="5" spans="1:10" x14ac:dyDescent="0.25">
      <c r="A5" s="9" t="s">
        <v>528</v>
      </c>
      <c r="B5" s="9" t="s">
        <v>176</v>
      </c>
      <c r="C5" s="9" t="s">
        <v>529</v>
      </c>
      <c r="D5" s="9" t="s">
        <v>236</v>
      </c>
      <c r="E5" s="9" t="s">
        <v>518</v>
      </c>
      <c r="F5" s="9" t="s">
        <v>530</v>
      </c>
      <c r="G5" s="9">
        <v>2027</v>
      </c>
      <c r="H5" s="9" t="s">
        <v>81</v>
      </c>
      <c r="I5" s="10" t="str">
        <f>VLOOKUP(B5,Institusi_Mitra!$A:$B,2,FALSE())</f>
        <v>University of Rwanda</v>
      </c>
      <c r="J5" s="10" t="str">
        <f>VLOOKUP(H5,Dosen!$A:$C,3,FALSE())</f>
        <v>Tohari Ahmad</v>
      </c>
    </row>
    <row r="6" spans="1:10" x14ac:dyDescent="0.25">
      <c r="A6" s="9" t="s">
        <v>531</v>
      </c>
      <c r="B6" s="9" t="s">
        <v>179</v>
      </c>
      <c r="C6" s="9" t="s">
        <v>532</v>
      </c>
      <c r="D6" s="9" t="s">
        <v>224</v>
      </c>
      <c r="E6" s="9" t="s">
        <v>522</v>
      </c>
      <c r="F6" s="9" t="s">
        <v>533</v>
      </c>
      <c r="G6" s="9">
        <v>2027</v>
      </c>
      <c r="H6" s="9" t="s">
        <v>95</v>
      </c>
      <c r="I6" s="10" t="str">
        <f>VLOOKUP(B6,Institusi_Mitra!$A:$B,2,FALSE())</f>
        <v>KAIST</v>
      </c>
      <c r="J6" s="10" t="str">
        <f>VLOOKUP(H6,Dosen!$A:$C,3,FALSE())</f>
        <v>Dosen 13</v>
      </c>
    </row>
    <row r="7" spans="1:10" x14ac:dyDescent="0.25">
      <c r="A7" s="9" t="s">
        <v>534</v>
      </c>
      <c r="B7" s="9" t="s">
        <v>181</v>
      </c>
      <c r="C7" s="9" t="s">
        <v>535</v>
      </c>
      <c r="D7" s="9" t="s">
        <v>224</v>
      </c>
      <c r="E7" s="9" t="s">
        <v>526</v>
      </c>
      <c r="F7" s="9" t="s">
        <v>536</v>
      </c>
      <c r="G7" s="9">
        <v>2027</v>
      </c>
      <c r="H7" s="9" t="s">
        <v>95</v>
      </c>
      <c r="I7" s="10" t="str">
        <f>VLOOKUP(B7,Institusi_Mitra!$A:$B,2,FALSE())</f>
        <v>Chulalongkorn University</v>
      </c>
      <c r="J7" s="10" t="str">
        <f>VLOOKUP(H7,Dosen!$A:$C,3,FALSE())</f>
        <v>Dosen 13</v>
      </c>
    </row>
    <row r="8" spans="1:10" x14ac:dyDescent="0.25">
      <c r="A8" s="9" t="s">
        <v>537</v>
      </c>
      <c r="B8" s="9" t="s">
        <v>181</v>
      </c>
      <c r="C8" s="9" t="s">
        <v>538</v>
      </c>
      <c r="D8" s="9" t="s">
        <v>224</v>
      </c>
      <c r="E8" s="9" t="s">
        <v>539</v>
      </c>
      <c r="F8" s="9" t="s">
        <v>536</v>
      </c>
      <c r="G8" s="9">
        <v>2027</v>
      </c>
      <c r="H8" s="9" t="s">
        <v>95</v>
      </c>
      <c r="I8" s="10" t="str">
        <f>VLOOKUP(B8,Institusi_Mitra!$A:$B,2,FALSE())</f>
        <v>Chulalongkorn University</v>
      </c>
      <c r="J8" s="10" t="str">
        <f>VLOOKUP(H8,Dosen!$A:$C,3,FALSE())</f>
        <v>Dosen 13</v>
      </c>
    </row>
    <row r="9" spans="1:10" x14ac:dyDescent="0.25">
      <c r="A9" s="9" t="s">
        <v>540</v>
      </c>
      <c r="B9" s="9" t="s">
        <v>181</v>
      </c>
      <c r="C9" s="9" t="s">
        <v>541</v>
      </c>
      <c r="D9" s="9" t="s">
        <v>224</v>
      </c>
      <c r="E9" s="9" t="s">
        <v>526</v>
      </c>
      <c r="F9" s="9" t="s">
        <v>536</v>
      </c>
      <c r="G9" s="9">
        <v>2027</v>
      </c>
      <c r="H9" s="9" t="s">
        <v>95</v>
      </c>
      <c r="I9" s="10" t="str">
        <f>VLOOKUP(B9,Institusi_Mitra!$A:$B,2,FALSE())</f>
        <v>Chulalongkorn University</v>
      </c>
      <c r="J9" s="10" t="str">
        <f>VLOOKUP(H9,Dosen!$A:$C,3,FALSE())</f>
        <v>Dosen 13</v>
      </c>
    </row>
    <row r="10" spans="1:10" x14ac:dyDescent="0.25">
      <c r="A10" s="9" t="s">
        <v>542</v>
      </c>
      <c r="B10" s="9" t="s">
        <v>184</v>
      </c>
      <c r="C10" s="9" t="s">
        <v>543</v>
      </c>
      <c r="D10" s="9" t="s">
        <v>255</v>
      </c>
      <c r="E10" s="9" t="s">
        <v>518</v>
      </c>
      <c r="F10" s="9" t="s">
        <v>544</v>
      </c>
      <c r="G10" s="9">
        <v>2027</v>
      </c>
      <c r="H10" s="9" t="s">
        <v>119</v>
      </c>
      <c r="I10" s="10" t="str">
        <f>VLOOKUP(B10,Institusi_Mitra!$A:$B,2,FALSE())</f>
        <v>University of Melbourne</v>
      </c>
      <c r="J10" s="10" t="str">
        <f>VLOOKUP(H10,Dosen!$A:$C,3,FALSE())</f>
        <v>Dosen 25</v>
      </c>
    </row>
    <row r="11" spans="1:10" x14ac:dyDescent="0.25">
      <c r="A11" s="9" t="s">
        <v>545</v>
      </c>
      <c r="B11" s="9" t="s">
        <v>186</v>
      </c>
      <c r="C11" s="9" t="s">
        <v>546</v>
      </c>
      <c r="D11" s="9" t="s">
        <v>236</v>
      </c>
      <c r="E11" s="9" t="s">
        <v>522</v>
      </c>
      <c r="F11" s="9" t="s">
        <v>547</v>
      </c>
      <c r="G11" s="9">
        <v>2028</v>
      </c>
      <c r="H11" s="9" t="s">
        <v>93</v>
      </c>
      <c r="I11" s="10" t="str">
        <f>VLOOKUP(B11,Institusi_Mitra!$A:$B,2,FALSE())</f>
        <v>IIT Delhi</v>
      </c>
      <c r="J11" s="10" t="str">
        <f>VLOOKUP(H11,Dosen!$A:$C,3,FALSE())</f>
        <v>Dosen 12</v>
      </c>
    </row>
    <row r="12" spans="1:10" x14ac:dyDescent="0.25">
      <c r="A12" s="9" t="s">
        <v>548</v>
      </c>
      <c r="B12" s="9" t="s">
        <v>154</v>
      </c>
      <c r="C12" s="9" t="s">
        <v>549</v>
      </c>
      <c r="D12" s="9" t="s">
        <v>224</v>
      </c>
      <c r="E12" s="9" t="s">
        <v>518</v>
      </c>
      <c r="F12" s="9" t="s">
        <v>550</v>
      </c>
      <c r="G12" s="9">
        <v>2027</v>
      </c>
      <c r="H12" s="9" t="s">
        <v>95</v>
      </c>
      <c r="I12" s="10" t="str">
        <f>VLOOKUP(B12,Institusi_Mitra!$A:$B,2,FALSE())</f>
        <v>National University of Singapore (NUS)</v>
      </c>
      <c r="J12" s="10" t="str">
        <f>VLOOKUP(H12,Dosen!$A:$C,3,FALSE())</f>
        <v>Dosen 13</v>
      </c>
    </row>
    <row r="13" spans="1:10" x14ac:dyDescent="0.25">
      <c r="A13" s="9" t="s">
        <v>551</v>
      </c>
      <c r="B13" s="9" t="s">
        <v>154</v>
      </c>
      <c r="C13" s="9" t="s">
        <v>552</v>
      </c>
      <c r="D13" s="9" t="s">
        <v>224</v>
      </c>
      <c r="E13" s="9" t="s">
        <v>526</v>
      </c>
      <c r="F13" s="9" t="s">
        <v>553</v>
      </c>
      <c r="G13" s="9">
        <v>2027</v>
      </c>
      <c r="H13" s="9" t="s">
        <v>95</v>
      </c>
      <c r="I13" s="10" t="str">
        <f>VLOOKUP(B13,Institusi_Mitra!$A:$B,2,FALSE())</f>
        <v>National University of Singapore (NUS)</v>
      </c>
      <c r="J13" s="10" t="str">
        <f>VLOOKUP(H13,Dosen!$A:$C,3,FALSE())</f>
        <v>Dosen 13</v>
      </c>
    </row>
    <row r="14" spans="1:10" x14ac:dyDescent="0.25">
      <c r="A14" s="9" t="s">
        <v>554</v>
      </c>
      <c r="B14" s="9" t="s">
        <v>160</v>
      </c>
      <c r="C14" s="9" t="s">
        <v>555</v>
      </c>
      <c r="D14" s="9" t="s">
        <v>236</v>
      </c>
      <c r="E14" s="9" t="s">
        <v>522</v>
      </c>
      <c r="F14" s="9" t="s">
        <v>556</v>
      </c>
      <c r="G14" s="9">
        <v>2027</v>
      </c>
      <c r="H14" s="9" t="s">
        <v>55</v>
      </c>
      <c r="I14" s="10" t="str">
        <f>VLOOKUP(B14,Institusi_Mitra!$A:$B,2,FALSE())</f>
        <v>Seoul National University</v>
      </c>
      <c r="J14" s="10" t="str">
        <f>VLOOKUP(H14,Dosen!$A:$C,3,FALSE())</f>
        <v>Tri Achmadi, Ir., Ph.D.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zoomScaleNormal="100" workbookViewId="0">
      <pane ySplit="1" topLeftCell="A2" activePane="bottomLeft" state="frozen"/>
      <selection pane="bottomLeft" activeCell="E2" sqref="E2:F6"/>
    </sheetView>
  </sheetViews>
  <sheetFormatPr defaultColWidth="8.7109375" defaultRowHeight="15" x14ac:dyDescent="0.25"/>
  <cols>
    <col min="1" max="1" width="8" customWidth="1"/>
    <col min="2" max="2" width="30" customWidth="1"/>
    <col min="3" max="3" width="12" customWidth="1"/>
    <col min="4" max="4" width="16" customWidth="1"/>
    <col min="5" max="6" width="20" customWidth="1"/>
  </cols>
  <sheetData>
    <row r="1" spans="1:6" ht="25.5" x14ac:dyDescent="0.25">
      <c r="A1" s="8" t="s">
        <v>12</v>
      </c>
      <c r="B1" s="8" t="s">
        <v>557</v>
      </c>
      <c r="C1" s="8" t="s">
        <v>558</v>
      </c>
      <c r="D1" s="8" t="s">
        <v>559</v>
      </c>
      <c r="E1" s="8" t="s">
        <v>560</v>
      </c>
      <c r="F1" s="8" t="s">
        <v>561</v>
      </c>
    </row>
    <row r="2" spans="1:6" x14ac:dyDescent="0.25">
      <c r="A2" s="9" t="s">
        <v>562</v>
      </c>
      <c r="B2" s="9" t="s">
        <v>563</v>
      </c>
      <c r="C2" s="9">
        <v>2026</v>
      </c>
      <c r="D2" s="9" t="s">
        <v>564</v>
      </c>
      <c r="E2" s="9">
        <v>14</v>
      </c>
      <c r="F2" s="9">
        <v>22</v>
      </c>
    </row>
    <row r="3" spans="1:6" x14ac:dyDescent="0.25">
      <c r="A3" s="9" t="s">
        <v>565</v>
      </c>
      <c r="B3" s="9" t="s">
        <v>566</v>
      </c>
      <c r="C3" s="9">
        <v>2026</v>
      </c>
      <c r="D3" s="9">
        <v>189</v>
      </c>
      <c r="E3" s="9">
        <v>12</v>
      </c>
      <c r="F3" s="9">
        <v>19</v>
      </c>
    </row>
    <row r="4" spans="1:6" x14ac:dyDescent="0.25">
      <c r="A4" s="9" t="s">
        <v>567</v>
      </c>
      <c r="B4" s="9" t="s">
        <v>568</v>
      </c>
      <c r="C4" s="9">
        <v>2026</v>
      </c>
      <c r="D4" s="9">
        <v>153</v>
      </c>
      <c r="E4" s="9">
        <v>18</v>
      </c>
      <c r="F4" s="9">
        <v>27</v>
      </c>
    </row>
    <row r="5" spans="1:6" x14ac:dyDescent="0.25">
      <c r="A5" s="9" t="s">
        <v>569</v>
      </c>
      <c r="B5" s="9" t="s">
        <v>172</v>
      </c>
      <c r="C5" s="9">
        <v>2026</v>
      </c>
      <c r="D5" s="9">
        <v>47</v>
      </c>
      <c r="E5" s="9">
        <v>31</v>
      </c>
      <c r="F5" s="9">
        <v>48</v>
      </c>
    </row>
    <row r="6" spans="1:6" x14ac:dyDescent="0.25">
      <c r="A6" s="9" t="s">
        <v>570</v>
      </c>
      <c r="B6" s="9" t="s">
        <v>195</v>
      </c>
      <c r="C6" s="9">
        <v>2026</v>
      </c>
      <c r="D6" s="9">
        <v>12</v>
      </c>
      <c r="E6" s="9">
        <v>35</v>
      </c>
      <c r="F6" s="9">
        <v>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6"/>
  <sheetViews>
    <sheetView zoomScaleNormal="100" workbookViewId="0">
      <pane ySplit="1" topLeftCell="A2" activePane="bottomLeft" state="frozen"/>
      <selection pane="bottomLeft" activeCell="D2" sqref="B2:D26"/>
    </sheetView>
  </sheetViews>
  <sheetFormatPr defaultColWidth="8.7109375" defaultRowHeight="15" x14ac:dyDescent="0.25"/>
  <cols>
    <col min="1" max="1" width="14" customWidth="1"/>
    <col min="2" max="2" width="30" customWidth="1"/>
    <col min="3" max="3" width="26" customWidth="1"/>
    <col min="4" max="4" width="10" customWidth="1"/>
  </cols>
  <sheetData>
    <row r="1" spans="1:4" x14ac:dyDescent="0.25">
      <c r="A1" s="8" t="s">
        <v>571</v>
      </c>
      <c r="B1" s="8" t="s">
        <v>572</v>
      </c>
      <c r="C1" s="8" t="s">
        <v>219</v>
      </c>
      <c r="D1" s="8" t="s">
        <v>220</v>
      </c>
    </row>
    <row r="2" spans="1:4" x14ac:dyDescent="0.25">
      <c r="A2" s="9" t="s">
        <v>562</v>
      </c>
      <c r="B2" s="10" t="str">
        <f>VLOOKUP(A2,Universitas_Pembanding!$A:$B,2,FALSE())</f>
        <v>ITB</v>
      </c>
      <c r="C2" s="9" t="s">
        <v>236</v>
      </c>
      <c r="D2" s="9">
        <v>1.1000000000000001</v>
      </c>
    </row>
    <row r="3" spans="1:4" x14ac:dyDescent="0.25">
      <c r="A3" s="9" t="s">
        <v>562</v>
      </c>
      <c r="B3" s="10" t="str">
        <f>VLOOKUP(A3,Universitas_Pembanding!$A:$B,2,FALSE())</f>
        <v>ITB</v>
      </c>
      <c r="C3" s="9" t="s">
        <v>224</v>
      </c>
      <c r="D3" s="9">
        <v>0.9</v>
      </c>
    </row>
    <row r="4" spans="1:4" x14ac:dyDescent="0.25">
      <c r="A4" s="9" t="s">
        <v>562</v>
      </c>
      <c r="B4" s="10" t="str">
        <f>VLOOKUP(A4,Universitas_Pembanding!$A:$B,2,FALSE())</f>
        <v>ITB</v>
      </c>
      <c r="C4" s="9" t="s">
        <v>255</v>
      </c>
      <c r="D4" s="9">
        <v>0.75</v>
      </c>
    </row>
    <row r="5" spans="1:4" x14ac:dyDescent="0.25">
      <c r="A5" s="9" t="s">
        <v>562</v>
      </c>
      <c r="B5" s="10" t="str">
        <f>VLOOKUP(A5,Universitas_Pembanding!$A:$B,2,FALSE())</f>
        <v>ITB</v>
      </c>
      <c r="C5" s="9" t="s">
        <v>268</v>
      </c>
      <c r="D5" s="9">
        <v>0.8</v>
      </c>
    </row>
    <row r="6" spans="1:4" x14ac:dyDescent="0.25">
      <c r="A6" s="9" t="s">
        <v>562</v>
      </c>
      <c r="B6" s="10" t="str">
        <f>VLOOKUP(A6,Universitas_Pembanding!$A:$B,2,FALSE())</f>
        <v>ITB</v>
      </c>
      <c r="C6" s="9" t="s">
        <v>301</v>
      </c>
      <c r="D6" s="9">
        <v>0.5</v>
      </c>
    </row>
    <row r="7" spans="1:4" x14ac:dyDescent="0.25">
      <c r="A7" s="9" t="s">
        <v>565</v>
      </c>
      <c r="B7" s="10" t="str">
        <f>VLOOKUP(A7,Universitas_Pembanding!$A:$B,2,FALSE())</f>
        <v>Universitas Indonesia</v>
      </c>
      <c r="C7" s="9" t="s">
        <v>236</v>
      </c>
      <c r="D7" s="9">
        <v>0.7</v>
      </c>
    </row>
    <row r="8" spans="1:4" x14ac:dyDescent="0.25">
      <c r="A8" s="9" t="s">
        <v>565</v>
      </c>
      <c r="B8" s="10" t="str">
        <f>VLOOKUP(A8,Universitas_Pembanding!$A:$B,2,FALSE())</f>
        <v>Universitas Indonesia</v>
      </c>
      <c r="C8" s="9" t="s">
        <v>224</v>
      </c>
      <c r="D8" s="9">
        <v>0.68</v>
      </c>
    </row>
    <row r="9" spans="1:4" x14ac:dyDescent="0.25">
      <c r="A9" s="9" t="s">
        <v>565</v>
      </c>
      <c r="B9" s="10" t="str">
        <f>VLOOKUP(A9,Universitas_Pembanding!$A:$B,2,FALSE())</f>
        <v>Universitas Indonesia</v>
      </c>
      <c r="C9" s="9" t="s">
        <v>255</v>
      </c>
      <c r="D9" s="9">
        <v>0.9</v>
      </c>
    </row>
    <row r="10" spans="1:4" x14ac:dyDescent="0.25">
      <c r="A10" s="9" t="s">
        <v>565</v>
      </c>
      <c r="B10" s="10" t="str">
        <f>VLOOKUP(A10,Universitas_Pembanding!$A:$B,2,FALSE())</f>
        <v>Universitas Indonesia</v>
      </c>
      <c r="C10" s="9" t="s">
        <v>268</v>
      </c>
      <c r="D10" s="9">
        <v>0.85</v>
      </c>
    </row>
    <row r="11" spans="1:4" x14ac:dyDescent="0.25">
      <c r="A11" s="9" t="s">
        <v>565</v>
      </c>
      <c r="B11" s="10" t="str">
        <f>VLOOKUP(A11,Universitas_Pembanding!$A:$B,2,FALSE())</f>
        <v>Universitas Indonesia</v>
      </c>
      <c r="C11" s="9" t="s">
        <v>301</v>
      </c>
      <c r="D11" s="9">
        <v>0.65</v>
      </c>
    </row>
    <row r="12" spans="1:4" x14ac:dyDescent="0.25">
      <c r="A12" s="9" t="s">
        <v>567</v>
      </c>
      <c r="B12" s="10" t="str">
        <f>VLOOKUP(A12,Universitas_Pembanding!$A:$B,2,FALSE())</f>
        <v>UTM</v>
      </c>
      <c r="C12" s="9" t="s">
        <v>236</v>
      </c>
      <c r="D12" s="9">
        <v>1.3</v>
      </c>
    </row>
    <row r="13" spans="1:4" x14ac:dyDescent="0.25">
      <c r="A13" s="9" t="s">
        <v>567</v>
      </c>
      <c r="B13" s="10" t="str">
        <f>VLOOKUP(A13,Universitas_Pembanding!$A:$B,2,FALSE())</f>
        <v>UTM</v>
      </c>
      <c r="C13" s="9" t="s">
        <v>224</v>
      </c>
      <c r="D13" s="9">
        <v>0.95</v>
      </c>
    </row>
    <row r="14" spans="1:4" x14ac:dyDescent="0.25">
      <c r="A14" s="9" t="s">
        <v>567</v>
      </c>
      <c r="B14" s="10" t="str">
        <f>VLOOKUP(A14,Universitas_Pembanding!$A:$B,2,FALSE())</f>
        <v>UTM</v>
      </c>
      <c r="C14" s="9" t="s">
        <v>255</v>
      </c>
      <c r="D14" s="9">
        <v>0.6</v>
      </c>
    </row>
    <row r="15" spans="1:4" x14ac:dyDescent="0.25">
      <c r="A15" s="9" t="s">
        <v>567</v>
      </c>
      <c r="B15" s="10" t="str">
        <f>VLOOKUP(A15,Universitas_Pembanding!$A:$B,2,FALSE())</f>
        <v>UTM</v>
      </c>
      <c r="C15" s="9" t="s">
        <v>268</v>
      </c>
      <c r="D15" s="9">
        <v>0.5</v>
      </c>
    </row>
    <row r="16" spans="1:4" x14ac:dyDescent="0.25">
      <c r="A16" s="9" t="s">
        <v>567</v>
      </c>
      <c r="B16" s="10" t="str">
        <f>VLOOKUP(A16,Universitas_Pembanding!$A:$B,2,FALSE())</f>
        <v>UTM</v>
      </c>
      <c r="C16" s="9" t="s">
        <v>301</v>
      </c>
      <c r="D16" s="9">
        <v>0.3</v>
      </c>
    </row>
    <row r="17" spans="1:4" x14ac:dyDescent="0.25">
      <c r="A17" s="9" t="s">
        <v>569</v>
      </c>
      <c r="B17" s="10" t="str">
        <f>VLOOKUP(A17,Universitas_Pembanding!$A:$B,2,FALSE())</f>
        <v>TU Delft</v>
      </c>
      <c r="C17" s="9" t="s">
        <v>236</v>
      </c>
      <c r="D17" s="9">
        <v>1.62</v>
      </c>
    </row>
    <row r="18" spans="1:4" x14ac:dyDescent="0.25">
      <c r="A18" s="9" t="s">
        <v>569</v>
      </c>
      <c r="B18" s="10" t="str">
        <f>VLOOKUP(A18,Universitas_Pembanding!$A:$B,2,FALSE())</f>
        <v>TU Delft</v>
      </c>
      <c r="C18" s="9" t="s">
        <v>224</v>
      </c>
      <c r="D18" s="9">
        <v>1.1000000000000001</v>
      </c>
    </row>
    <row r="19" spans="1:4" x14ac:dyDescent="0.25">
      <c r="A19" s="9" t="s">
        <v>569</v>
      </c>
      <c r="B19" s="10" t="str">
        <f>VLOOKUP(A19,Universitas_Pembanding!$A:$B,2,FALSE())</f>
        <v>TU Delft</v>
      </c>
      <c r="C19" s="9" t="s">
        <v>255</v>
      </c>
      <c r="D19" s="9">
        <v>1</v>
      </c>
    </row>
    <row r="20" spans="1:4" x14ac:dyDescent="0.25">
      <c r="A20" s="9" t="s">
        <v>569</v>
      </c>
      <c r="B20" s="10" t="str">
        <f>VLOOKUP(A20,Universitas_Pembanding!$A:$B,2,FALSE())</f>
        <v>TU Delft</v>
      </c>
      <c r="C20" s="9" t="s">
        <v>268</v>
      </c>
      <c r="D20" s="9">
        <v>0.9</v>
      </c>
    </row>
    <row r="21" spans="1:4" x14ac:dyDescent="0.25">
      <c r="A21" s="9" t="s">
        <v>569</v>
      </c>
      <c r="B21" s="10" t="str">
        <f>VLOOKUP(A21,Universitas_Pembanding!$A:$B,2,FALSE())</f>
        <v>TU Delft</v>
      </c>
      <c r="C21" s="9" t="s">
        <v>301</v>
      </c>
      <c r="D21" s="9">
        <v>0.7</v>
      </c>
    </row>
    <row r="22" spans="1:4" x14ac:dyDescent="0.25">
      <c r="A22" s="9" t="s">
        <v>570</v>
      </c>
      <c r="B22" s="10" t="str">
        <f>VLOOKUP(A22,Universitas_Pembanding!$A:$B,2,FALSE())</f>
        <v>NTU Singapore</v>
      </c>
      <c r="C22" s="9" t="s">
        <v>236</v>
      </c>
      <c r="D22" s="9">
        <v>1.9</v>
      </c>
    </row>
    <row r="23" spans="1:4" x14ac:dyDescent="0.25">
      <c r="A23" s="9" t="s">
        <v>570</v>
      </c>
      <c r="B23" s="10" t="str">
        <f>VLOOKUP(A23,Universitas_Pembanding!$A:$B,2,FALSE())</f>
        <v>NTU Singapore</v>
      </c>
      <c r="C23" s="9" t="s">
        <v>224</v>
      </c>
      <c r="D23" s="9">
        <v>1.7</v>
      </c>
    </row>
    <row r="24" spans="1:4" x14ac:dyDescent="0.25">
      <c r="A24" s="9" t="s">
        <v>570</v>
      </c>
      <c r="B24" s="10" t="str">
        <f>VLOOKUP(A24,Universitas_Pembanding!$A:$B,2,FALSE())</f>
        <v>NTU Singapore</v>
      </c>
      <c r="C24" s="9" t="s">
        <v>255</v>
      </c>
      <c r="D24" s="9">
        <v>1.4</v>
      </c>
    </row>
    <row r="25" spans="1:4" x14ac:dyDescent="0.25">
      <c r="A25" s="9" t="s">
        <v>570</v>
      </c>
      <c r="B25" s="10" t="str">
        <f>VLOOKUP(A25,Universitas_Pembanding!$A:$B,2,FALSE())</f>
        <v>NTU Singapore</v>
      </c>
      <c r="C25" s="9" t="s">
        <v>268</v>
      </c>
      <c r="D25" s="9">
        <v>1.1000000000000001</v>
      </c>
    </row>
    <row r="26" spans="1:4" x14ac:dyDescent="0.25">
      <c r="A26" s="9" t="s">
        <v>570</v>
      </c>
      <c r="B26" s="10" t="str">
        <f>VLOOKUP(A26,Universitas_Pembanding!$A:$B,2,FALSE())</f>
        <v>NTU Singapore</v>
      </c>
      <c r="C26" s="9" t="s">
        <v>301</v>
      </c>
      <c r="D26" s="9">
        <v>0.8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6"/>
  <sheetViews>
    <sheetView zoomScaleNormal="100" workbookViewId="0">
      <pane ySplit="1" topLeftCell="A2" activePane="bottomLeft" state="frozen"/>
      <selection pane="bottomLeft" activeCell="C8" sqref="C8"/>
    </sheetView>
  </sheetViews>
  <sheetFormatPr defaultColWidth="8.7109375" defaultRowHeight="15" x14ac:dyDescent="0.25"/>
  <cols>
    <col min="1" max="1" width="10" customWidth="1"/>
    <col min="2" max="2" width="26" customWidth="1"/>
    <col min="3" max="3" width="16" customWidth="1"/>
    <col min="4" max="5" width="14" customWidth="1"/>
  </cols>
  <sheetData>
    <row r="1" spans="1:5" ht="25.5" x14ac:dyDescent="0.25">
      <c r="A1" s="8" t="s">
        <v>573</v>
      </c>
      <c r="B1" s="8" t="s">
        <v>219</v>
      </c>
      <c r="C1" s="8" t="s">
        <v>559</v>
      </c>
      <c r="D1" s="8" t="s">
        <v>574</v>
      </c>
      <c r="E1" s="8" t="s">
        <v>575</v>
      </c>
    </row>
    <row r="2" spans="1:5" x14ac:dyDescent="0.25">
      <c r="A2" s="9">
        <v>2022</v>
      </c>
      <c r="B2" s="9"/>
      <c r="C2" s="9">
        <v>560</v>
      </c>
      <c r="D2" s="9">
        <v>0.57999999999999996</v>
      </c>
      <c r="E2" s="9" t="s">
        <v>576</v>
      </c>
    </row>
    <row r="3" spans="1:5" x14ac:dyDescent="0.25">
      <c r="A3" s="9">
        <v>2023</v>
      </c>
      <c r="B3" s="9"/>
      <c r="C3" s="9">
        <v>545</v>
      </c>
      <c r="D3" s="9">
        <v>0.6</v>
      </c>
      <c r="E3" s="9" t="s">
        <v>576</v>
      </c>
    </row>
    <row r="4" spans="1:5" x14ac:dyDescent="0.25">
      <c r="A4" s="9">
        <v>2024</v>
      </c>
      <c r="B4" s="9"/>
      <c r="C4" s="9">
        <v>530</v>
      </c>
      <c r="D4" s="9">
        <v>0.63</v>
      </c>
      <c r="E4" s="9" t="s">
        <v>576</v>
      </c>
    </row>
    <row r="5" spans="1:5" x14ac:dyDescent="0.25">
      <c r="A5" s="9">
        <v>2025</v>
      </c>
      <c r="B5" s="9"/>
      <c r="C5" s="9">
        <v>515</v>
      </c>
      <c r="D5" s="9">
        <v>0.66</v>
      </c>
      <c r="E5" s="9" t="s">
        <v>576</v>
      </c>
    </row>
    <row r="6" spans="1:5" x14ac:dyDescent="0.25">
      <c r="A6" s="9">
        <v>2026</v>
      </c>
      <c r="B6" s="9"/>
      <c r="C6" s="9">
        <v>506</v>
      </c>
      <c r="D6" s="9">
        <v>0.7</v>
      </c>
      <c r="E6" s="9" t="s">
        <v>576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1"/>
  <sheetViews>
    <sheetView zoomScaleNormal="100" workbookViewId="0">
      <pane ySplit="1" topLeftCell="A2" activePane="bottomLeft" state="frozen"/>
      <selection pane="bottomLeft" activeCell="A35" sqref="A35"/>
    </sheetView>
  </sheetViews>
  <sheetFormatPr defaultColWidth="8.7109375" defaultRowHeight="15" x14ac:dyDescent="0.25"/>
  <cols>
    <col min="1" max="1" width="14" customWidth="1"/>
    <col min="2" max="2" width="22" customWidth="1"/>
    <col min="3" max="3" width="32" customWidth="1"/>
    <col min="4" max="4" width="16" customWidth="1"/>
    <col min="5" max="5" width="26" customWidth="1"/>
    <col min="6" max="6" width="22" customWidth="1"/>
  </cols>
  <sheetData>
    <row r="1" spans="1:6" x14ac:dyDescent="0.25">
      <c r="A1" s="8" t="s">
        <v>571</v>
      </c>
      <c r="B1" s="8" t="s">
        <v>572</v>
      </c>
      <c r="C1" s="8" t="s">
        <v>577</v>
      </c>
      <c r="D1" s="8" t="s">
        <v>152</v>
      </c>
      <c r="E1" s="8" t="s">
        <v>219</v>
      </c>
      <c r="F1" s="8" t="s">
        <v>578</v>
      </c>
    </row>
    <row r="2" spans="1:6" x14ac:dyDescent="0.25">
      <c r="A2" s="9" t="s">
        <v>562</v>
      </c>
      <c r="B2" s="10" t="str">
        <f>VLOOKUP(A2,Universitas_Pembanding!$A:$B,2,FALSE())</f>
        <v>ITB</v>
      </c>
      <c r="C2" s="9" t="s">
        <v>192</v>
      </c>
      <c r="D2" s="9" t="s">
        <v>193</v>
      </c>
      <c r="E2" s="9" t="s">
        <v>236</v>
      </c>
      <c r="F2" s="12" t="str">
        <f>IF(COUNTIF(Institusi_Mitra!$B:$B,C2)&gt;0,"Overlap - ITS juga di sini","Gap - belum disentuh ITS")</f>
        <v>Overlap - ITS juga di sini</v>
      </c>
    </row>
    <row r="3" spans="1:6" x14ac:dyDescent="0.25">
      <c r="A3" s="9" t="s">
        <v>562</v>
      </c>
      <c r="B3" s="10" t="str">
        <f>VLOOKUP(A3,Universitas_Pembanding!$A:$B,2,FALSE())</f>
        <v>ITB</v>
      </c>
      <c r="C3" s="9" t="s">
        <v>579</v>
      </c>
      <c r="D3" s="9" t="s">
        <v>580</v>
      </c>
      <c r="E3" s="9" t="s">
        <v>268</v>
      </c>
      <c r="F3" s="12" t="str">
        <f>IF(COUNTIF(Institusi_Mitra!$B:$B,C3)&gt;0,"Overlap - ITS juga di sini","Gap - belum disentuh ITS")</f>
        <v>Gap - belum disentuh ITS</v>
      </c>
    </row>
    <row r="4" spans="1:6" x14ac:dyDescent="0.25">
      <c r="A4" s="9" t="s">
        <v>565</v>
      </c>
      <c r="B4" s="10" t="str">
        <f>VLOOKUP(A4,Universitas_Pembanding!$A:$B,2,FALSE())</f>
        <v>Universitas Indonesia</v>
      </c>
      <c r="C4" s="9" t="s">
        <v>185</v>
      </c>
      <c r="D4" s="9" t="s">
        <v>168</v>
      </c>
      <c r="E4" s="9" t="s">
        <v>255</v>
      </c>
      <c r="F4" s="12" t="str">
        <f>IF(COUNTIF(Institusi_Mitra!$B:$B,C4)&gt;0,"Overlap - ITS juga di sini","Gap - belum disentuh ITS")</f>
        <v>Overlap - ITS juga di sini</v>
      </c>
    </row>
    <row r="5" spans="1:6" x14ac:dyDescent="0.25">
      <c r="A5" s="9" t="s">
        <v>565</v>
      </c>
      <c r="B5" s="10" t="str">
        <f>VLOOKUP(A5,Universitas_Pembanding!$A:$B,2,FALSE())</f>
        <v>Universitas Indonesia</v>
      </c>
      <c r="C5" s="9" t="s">
        <v>581</v>
      </c>
      <c r="D5" s="9" t="s">
        <v>582</v>
      </c>
      <c r="E5" s="9" t="s">
        <v>255</v>
      </c>
      <c r="F5" s="12" t="str">
        <f>IF(COUNTIF(Institusi_Mitra!$B:$B,C5)&gt;0,"Overlap - ITS juga di sini","Gap - belum disentuh ITS")</f>
        <v>Gap - belum disentuh ITS</v>
      </c>
    </row>
    <row r="6" spans="1:6" x14ac:dyDescent="0.25">
      <c r="A6" s="9" t="s">
        <v>567</v>
      </c>
      <c r="B6" s="10" t="str">
        <f>VLOOKUP(A6,Universitas_Pembanding!$A:$B,2,FALSE())</f>
        <v>UTM</v>
      </c>
      <c r="C6" s="9" t="s">
        <v>180</v>
      </c>
      <c r="D6" s="9" t="s">
        <v>162</v>
      </c>
      <c r="E6" s="9" t="s">
        <v>224</v>
      </c>
      <c r="F6" s="12" t="str">
        <f>IF(COUNTIF(Institusi_Mitra!$B:$B,C6)&gt;0,"Overlap - ITS juga di sini","Gap - belum disentuh ITS")</f>
        <v>Overlap - ITS juga di sini</v>
      </c>
    </row>
    <row r="7" spans="1:6" x14ac:dyDescent="0.25">
      <c r="A7" s="9" t="s">
        <v>567</v>
      </c>
      <c r="B7" s="10" t="str">
        <f>VLOOKUP(A7,Universitas_Pembanding!$A:$B,2,FALSE())</f>
        <v>UTM</v>
      </c>
      <c r="C7" s="9" t="s">
        <v>583</v>
      </c>
      <c r="D7" s="9" t="s">
        <v>584</v>
      </c>
      <c r="E7" s="9" t="s">
        <v>236</v>
      </c>
      <c r="F7" s="12" t="str">
        <f>IF(COUNTIF(Institusi_Mitra!$B:$B,C7)&gt;0,"Overlap - ITS juga di sini","Gap - belum disentuh ITS")</f>
        <v>Gap - belum disentuh ITS</v>
      </c>
    </row>
    <row r="8" spans="1:6" x14ac:dyDescent="0.25">
      <c r="A8" s="9" t="s">
        <v>569</v>
      </c>
      <c r="B8" s="10" t="str">
        <f>VLOOKUP(A8,Universitas_Pembanding!$A:$B,2,FALSE())</f>
        <v>TU Delft</v>
      </c>
      <c r="C8" s="9" t="s">
        <v>585</v>
      </c>
      <c r="D8" s="9" t="s">
        <v>193</v>
      </c>
      <c r="E8" s="9" t="s">
        <v>236</v>
      </c>
      <c r="F8" s="12" t="str">
        <f>IF(COUNTIF(Institusi_Mitra!$B:$B,C8)&gt;0,"Overlap - ITS juga di sini","Gap - belum disentuh ITS")</f>
        <v>Gap - belum disentuh ITS</v>
      </c>
    </row>
    <row r="9" spans="1:6" x14ac:dyDescent="0.25">
      <c r="A9" s="9" t="s">
        <v>569</v>
      </c>
      <c r="B9" s="10" t="str">
        <f>VLOOKUP(A9,Universitas_Pembanding!$A:$B,2,FALSE())</f>
        <v>TU Delft</v>
      </c>
      <c r="C9" s="9" t="s">
        <v>586</v>
      </c>
      <c r="D9" s="9" t="s">
        <v>587</v>
      </c>
      <c r="E9" s="9" t="s">
        <v>224</v>
      </c>
      <c r="F9" s="12" t="str">
        <f>IF(COUNTIF(Institusi_Mitra!$B:$B,C9)&gt;0,"Overlap - ITS juga di sini","Gap - belum disentuh ITS")</f>
        <v>Gap - belum disentuh ITS</v>
      </c>
    </row>
    <row r="10" spans="1:6" x14ac:dyDescent="0.25">
      <c r="A10" s="9" t="s">
        <v>570</v>
      </c>
      <c r="B10" s="10" t="str">
        <f>VLOOKUP(A10,Universitas_Pembanding!$A:$B,2,FALSE())</f>
        <v>NTU Singapore</v>
      </c>
      <c r="C10" s="9" t="s">
        <v>588</v>
      </c>
      <c r="D10" s="9" t="s">
        <v>201</v>
      </c>
      <c r="E10" s="9" t="s">
        <v>268</v>
      </c>
      <c r="F10" s="12" t="str">
        <f>IF(COUNTIF(Institusi_Mitra!$B:$B,C10)&gt;0,"Overlap - ITS juga di sini","Gap - belum disentuh ITS")</f>
        <v>Gap - belum disentuh ITS</v>
      </c>
    </row>
    <row r="11" spans="1:6" x14ac:dyDescent="0.25">
      <c r="A11" s="9" t="s">
        <v>570</v>
      </c>
      <c r="B11" s="10" t="str">
        <f>VLOOKUP(A11,Universitas_Pembanding!$A:$B,2,FALSE())</f>
        <v>NTU Singapore</v>
      </c>
      <c r="C11" s="9" t="s">
        <v>589</v>
      </c>
      <c r="D11" s="9" t="s">
        <v>582</v>
      </c>
      <c r="E11" s="9" t="s">
        <v>236</v>
      </c>
      <c r="F11" s="12" t="str">
        <f>IF(COUNTIF(Institusi_Mitra!$B:$B,C11)&gt;0,"Overlap - ITS juga di sini","Gap - belum disentuh ITS")</f>
        <v>Gap - belum disentuh ITS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2"/>
  <sheetViews>
    <sheetView zoomScaleNormal="100" workbookViewId="0">
      <pane ySplit="1" topLeftCell="A2" activePane="bottomLeft" state="frozen"/>
      <selection pane="bottomLeft" activeCell="H15" sqref="H15"/>
    </sheetView>
  </sheetViews>
  <sheetFormatPr defaultColWidth="8.7109375" defaultRowHeight="15" x14ac:dyDescent="0.25"/>
  <cols>
    <col min="1" max="1" width="8" customWidth="1"/>
    <col min="2" max="2" width="45" customWidth="1"/>
    <col min="3" max="7" width="16" customWidth="1"/>
    <col min="8" max="8" width="26" customWidth="1"/>
  </cols>
  <sheetData>
    <row r="1" spans="1:8" ht="38.25" x14ac:dyDescent="0.25">
      <c r="A1" s="8" t="s">
        <v>32</v>
      </c>
      <c r="B1" s="8" t="s">
        <v>13</v>
      </c>
      <c r="C1" s="8" t="s">
        <v>236</v>
      </c>
      <c r="D1" s="8" t="s">
        <v>224</v>
      </c>
      <c r="E1" s="8" t="s">
        <v>255</v>
      </c>
      <c r="F1" s="8" t="s">
        <v>268</v>
      </c>
      <c r="G1" s="8" t="s">
        <v>301</v>
      </c>
      <c r="H1" s="8" t="s">
        <v>590</v>
      </c>
    </row>
    <row r="2" spans="1:8" x14ac:dyDescent="0.25">
      <c r="A2" s="12" t="str">
        <f>Fakultas!A2</f>
        <v>F01</v>
      </c>
      <c r="B2" s="12" t="str">
        <f>Fakultas!B2</f>
        <v>Faculty of Marine Technology</v>
      </c>
      <c r="C2" s="12">
        <f>IFERROR(AVERAGEIFS(Publikasi_Penulis!$D:$D,Publikasi_Penulis!$C:$C,$B2,Publikasi_Penulis!$E:$E,C$1),"-")</f>
        <v>0.81277777777777771</v>
      </c>
      <c r="D2" s="12">
        <f>IFERROR(AVERAGEIFS(Publikasi_Penulis!$D:$D,Publikasi_Penulis!$C:$C,$B2,Publikasi_Penulis!$E:$E,D$1),"-")</f>
        <v>1.4114285714285715</v>
      </c>
      <c r="E2" s="12">
        <f>IFERROR(AVERAGEIFS(Publikasi_Penulis!$D:$D,Publikasi_Penulis!$C:$C,$B2,Publikasi_Penulis!$E:$E,E$1),"-")</f>
        <v>0.6</v>
      </c>
      <c r="F2" s="12">
        <f>IFERROR(AVERAGEIFS(Publikasi_Penulis!$D:$D,Publikasi_Penulis!$C:$C,$B2,Publikasi_Penulis!$E:$E,F$1),"-")</f>
        <v>0.97</v>
      </c>
      <c r="G2" s="12">
        <f>IFERROR(AVERAGEIFS(Publikasi_Penulis!$D:$D,Publikasi_Penulis!$C:$C,$B2,Publikasi_Penulis!$E:$E,G$1),"-")</f>
        <v>1.33</v>
      </c>
      <c r="H2" s="13" t="str">
        <f t="shared" ref="H2:H10" si="0">IFERROR(INDEX($C$1:$G$1,MATCH(MAX(C2:G2),C2:G2,0)),"-")</f>
        <v>Natural Sciences</v>
      </c>
    </row>
    <row r="3" spans="1:8" x14ac:dyDescent="0.25">
      <c r="A3" s="12" t="str">
        <f>Fakultas!A3</f>
        <v>F02</v>
      </c>
      <c r="B3" s="12" t="str">
        <f>Fakultas!B3</f>
        <v>Faculty of Intelligent Electrical and Informatics Technology</v>
      </c>
      <c r="C3" s="12">
        <f>IFERROR(AVERAGEIFS(Publikasi_Penulis!$D:$D,Publikasi_Penulis!$C:$C,$B3,Publikasi_Penulis!$E:$E,C$1),"-")</f>
        <v>1.0014705882352941</v>
      </c>
      <c r="D3" s="12">
        <f>IFERROR(AVERAGEIFS(Publikasi_Penulis!$D:$D,Publikasi_Penulis!$C:$C,$B3,Publikasi_Penulis!$E:$E,D$1),"-")</f>
        <v>1.5149999999999999</v>
      </c>
      <c r="E3" s="12">
        <f>IFERROR(AVERAGEIFS(Publikasi_Penulis!$D:$D,Publikasi_Penulis!$C:$C,$B3,Publikasi_Penulis!$E:$E,E$1),"-")</f>
        <v>1.4075</v>
      </c>
      <c r="F3" s="12">
        <f>IFERROR(AVERAGEIFS(Publikasi_Penulis!$D:$D,Publikasi_Penulis!$C:$C,$B3,Publikasi_Penulis!$E:$E,F$1),"-")</f>
        <v>0.66</v>
      </c>
      <c r="G3" s="12">
        <f>IFERROR(AVERAGEIFS(Publikasi_Penulis!$D:$D,Publikasi_Penulis!$C:$C,$B3,Publikasi_Penulis!$E:$E,G$1),"-")</f>
        <v>1.0350000000000001</v>
      </c>
      <c r="H3" s="13" t="str">
        <f t="shared" si="0"/>
        <v>Natural Sciences</v>
      </c>
    </row>
    <row r="4" spans="1:8" x14ac:dyDescent="0.25">
      <c r="A4" s="12" t="str">
        <f>Fakultas!A4</f>
        <v>F03</v>
      </c>
      <c r="B4" s="12" t="str">
        <f>Fakultas!B4</f>
        <v>Faculty of Civil, Planning, and Geo-Engineering</v>
      </c>
      <c r="C4" s="12">
        <f>IFERROR(AVERAGEIFS(Publikasi_Penulis!$D:$D,Publikasi_Penulis!$C:$C,$B4,Publikasi_Penulis!$E:$E,C$1),"-")</f>
        <v>1.1128571428571428</v>
      </c>
      <c r="D4" s="12">
        <f>IFERROR(AVERAGEIFS(Publikasi_Penulis!$D:$D,Publikasi_Penulis!$C:$C,$B4,Publikasi_Penulis!$E:$E,D$1),"-")</f>
        <v>1.2050000000000001</v>
      </c>
      <c r="E4" s="12">
        <f>IFERROR(AVERAGEIFS(Publikasi_Penulis!$D:$D,Publikasi_Penulis!$C:$C,$B4,Publikasi_Penulis!$E:$E,E$1),"-")</f>
        <v>1.48</v>
      </c>
      <c r="F4" s="12" t="str">
        <f>IFERROR(AVERAGEIFS(Publikasi_Penulis!$D:$D,Publikasi_Penulis!$C:$C,$B4,Publikasi_Penulis!$E:$E,F$1),"-")</f>
        <v>-</v>
      </c>
      <c r="G4" s="12" t="str">
        <f>IFERROR(AVERAGEIFS(Publikasi_Penulis!$D:$D,Publikasi_Penulis!$C:$C,$B4,Publikasi_Penulis!$E:$E,G$1),"-")</f>
        <v>-</v>
      </c>
      <c r="H4" s="13" t="str">
        <f t="shared" si="0"/>
        <v>Life Sciences and Medicine</v>
      </c>
    </row>
    <row r="5" spans="1:8" x14ac:dyDescent="0.25">
      <c r="A5" s="12" t="str">
        <f>Fakultas!A5</f>
        <v>F04</v>
      </c>
      <c r="B5" s="12" t="str">
        <f>Fakultas!B5</f>
        <v>Faculty of Industrial Technology and System Engineering</v>
      </c>
      <c r="C5" s="12">
        <f>IFERROR(AVERAGEIFS(Publikasi_Penulis!$D:$D,Publikasi_Penulis!$C:$C,$B5,Publikasi_Penulis!$E:$E,C$1),"-")</f>
        <v>1.2533333333333332</v>
      </c>
      <c r="D5" s="12">
        <f>IFERROR(AVERAGEIFS(Publikasi_Penulis!$D:$D,Publikasi_Penulis!$C:$C,$B5,Publikasi_Penulis!$E:$E,D$1),"-")</f>
        <v>1.1399999999999999</v>
      </c>
      <c r="E5" s="12" t="str">
        <f>IFERROR(AVERAGEIFS(Publikasi_Penulis!$D:$D,Publikasi_Penulis!$C:$C,$B5,Publikasi_Penulis!$E:$E,E$1),"-")</f>
        <v>-</v>
      </c>
      <c r="F5" s="12">
        <f>IFERROR(AVERAGEIFS(Publikasi_Penulis!$D:$D,Publikasi_Penulis!$C:$C,$B5,Publikasi_Penulis!$E:$E,F$1),"-")</f>
        <v>0.82000000000000006</v>
      </c>
      <c r="G5" s="12" t="str">
        <f>IFERROR(AVERAGEIFS(Publikasi_Penulis!$D:$D,Publikasi_Penulis!$C:$C,$B5,Publikasi_Penulis!$E:$E,G$1),"-")</f>
        <v>-</v>
      </c>
      <c r="H5" s="13" t="str">
        <f t="shared" si="0"/>
        <v>Engineering and Technology</v>
      </c>
    </row>
    <row r="6" spans="1:8" x14ac:dyDescent="0.25">
      <c r="A6" s="12" t="str">
        <f>Fakultas!A6</f>
        <v>F05</v>
      </c>
      <c r="B6" s="12" t="str">
        <f>Fakultas!B6</f>
        <v>Faculty of Creative Design and Digital Business</v>
      </c>
      <c r="C6" s="12">
        <f>IFERROR(AVERAGEIFS(Publikasi_Penulis!$D:$D,Publikasi_Penulis!$C:$C,$B6,Publikasi_Penulis!$E:$E,C$1),"-")</f>
        <v>0.81</v>
      </c>
      <c r="D6" s="12">
        <f>IFERROR(AVERAGEIFS(Publikasi_Penulis!$D:$D,Publikasi_Penulis!$C:$C,$B6,Publikasi_Penulis!$E:$E,D$1),"-")</f>
        <v>0.75</v>
      </c>
      <c r="E6" s="12">
        <f>IFERROR(AVERAGEIFS(Publikasi_Penulis!$D:$D,Publikasi_Penulis!$C:$C,$B6,Publikasi_Penulis!$E:$E,E$1),"-")</f>
        <v>0.78</v>
      </c>
      <c r="F6" s="12" t="str">
        <f>IFERROR(AVERAGEIFS(Publikasi_Penulis!$D:$D,Publikasi_Penulis!$C:$C,$B6,Publikasi_Penulis!$E:$E,F$1),"-")</f>
        <v>-</v>
      </c>
      <c r="G6" s="12">
        <f>IFERROR(AVERAGEIFS(Publikasi_Penulis!$D:$D,Publikasi_Penulis!$C:$C,$B6,Publikasi_Penulis!$E:$E,G$1),"-")</f>
        <v>1.1542857142857144</v>
      </c>
      <c r="H6" s="13" t="str">
        <f t="shared" si="0"/>
        <v>Arts and Humanities</v>
      </c>
    </row>
    <row r="7" spans="1:8" x14ac:dyDescent="0.25">
      <c r="A7" s="12" t="str">
        <f>Fakultas!A7</f>
        <v>F06</v>
      </c>
      <c r="B7" s="12" t="str">
        <f>Fakultas!B7</f>
        <v>Faculty of Medicine and Health</v>
      </c>
      <c r="C7" s="12" t="str">
        <f>IFERROR(AVERAGEIFS(Publikasi_Penulis!$D:$D,Publikasi_Penulis!$C:$C,$B7,Publikasi_Penulis!$E:$E,C$1),"-")</f>
        <v>-</v>
      </c>
      <c r="D7" s="12" t="str">
        <f>IFERROR(AVERAGEIFS(Publikasi_Penulis!$D:$D,Publikasi_Penulis!$C:$C,$B7,Publikasi_Penulis!$E:$E,D$1),"-")</f>
        <v>-</v>
      </c>
      <c r="E7" s="12">
        <f>IFERROR(AVERAGEIFS(Publikasi_Penulis!$D:$D,Publikasi_Penulis!$C:$C,$B7,Publikasi_Penulis!$E:$E,E$1),"-")</f>
        <v>0.92833333333333334</v>
      </c>
      <c r="F7" s="12">
        <f>IFERROR(AVERAGEIFS(Publikasi_Penulis!$D:$D,Publikasi_Penulis!$C:$C,$B7,Publikasi_Penulis!$E:$E,F$1),"-")</f>
        <v>0.99</v>
      </c>
      <c r="G7" s="12" t="str">
        <f>IFERROR(AVERAGEIFS(Publikasi_Penulis!$D:$D,Publikasi_Penulis!$C:$C,$B7,Publikasi_Penulis!$E:$E,G$1),"-")</f>
        <v>-</v>
      </c>
      <c r="H7" s="13" t="str">
        <f t="shared" si="0"/>
        <v>Social Sciences and Management</v>
      </c>
    </row>
    <row r="8" spans="1:8" x14ac:dyDescent="0.25">
      <c r="A8" s="12" t="str">
        <f>Fakultas!A8</f>
        <v>F07</v>
      </c>
      <c r="B8" s="12" t="str">
        <f>Fakultas!B8</f>
        <v>Faculty of Science and Data Analytics</v>
      </c>
      <c r="C8" s="12">
        <f>IFERROR(AVERAGEIFS(Publikasi_Penulis!$D:$D,Publikasi_Penulis!$C:$C,$B8,Publikasi_Penulis!$E:$E,C$1),"-")</f>
        <v>0.83000000000000007</v>
      </c>
      <c r="D8" s="12">
        <f>IFERROR(AVERAGEIFS(Publikasi_Penulis!$D:$D,Publikasi_Penulis!$C:$C,$B8,Publikasi_Penulis!$E:$E,D$1),"-")</f>
        <v>1.4140000000000001</v>
      </c>
      <c r="E8" s="12" t="str">
        <f>IFERROR(AVERAGEIFS(Publikasi_Penulis!$D:$D,Publikasi_Penulis!$C:$C,$B8,Publikasi_Penulis!$E:$E,E$1),"-")</f>
        <v>-</v>
      </c>
      <c r="F8" s="12">
        <f>IFERROR(AVERAGEIFS(Publikasi_Penulis!$D:$D,Publikasi_Penulis!$C:$C,$B8,Publikasi_Penulis!$E:$E,F$1),"-")</f>
        <v>1.4633333333333332</v>
      </c>
      <c r="G8" s="12" t="str">
        <f>IFERROR(AVERAGEIFS(Publikasi_Penulis!$D:$D,Publikasi_Penulis!$C:$C,$B8,Publikasi_Penulis!$E:$E,G$1),"-")</f>
        <v>-</v>
      </c>
      <c r="H8" s="13" t="str">
        <f t="shared" si="0"/>
        <v>Social Sciences and Management</v>
      </c>
    </row>
    <row r="9" spans="1:8" x14ac:dyDescent="0.25">
      <c r="A9" s="12" t="str">
        <f>Fakultas!A9</f>
        <v>F08</v>
      </c>
      <c r="B9" s="12" t="str">
        <f>Fakultas!B9</f>
        <v>Faculty of Vocation</v>
      </c>
      <c r="C9" s="12">
        <f>IFERROR(AVERAGEIFS(Publikasi_Penulis!$D:$D,Publikasi_Penulis!$C:$C,$B9,Publikasi_Penulis!$E:$E,C$1),"-")</f>
        <v>1.0999999999999999</v>
      </c>
      <c r="D9" s="12">
        <f>IFERROR(AVERAGEIFS(Publikasi_Penulis!$D:$D,Publikasi_Penulis!$C:$C,$B9,Publikasi_Penulis!$E:$E,D$1),"-")</f>
        <v>0.88</v>
      </c>
      <c r="E9" s="12" t="str">
        <f>IFERROR(AVERAGEIFS(Publikasi_Penulis!$D:$D,Publikasi_Penulis!$C:$C,$B9,Publikasi_Penulis!$E:$E,E$1),"-")</f>
        <v>-</v>
      </c>
      <c r="F9" s="12" t="str">
        <f>IFERROR(AVERAGEIFS(Publikasi_Penulis!$D:$D,Publikasi_Penulis!$C:$C,$B9,Publikasi_Penulis!$E:$E,F$1),"-")</f>
        <v>-</v>
      </c>
      <c r="G9" s="12">
        <f>IFERROR(AVERAGEIFS(Publikasi_Penulis!$D:$D,Publikasi_Penulis!$C:$C,$B9,Publikasi_Penulis!$E:$E,G$1),"-")</f>
        <v>0.42</v>
      </c>
      <c r="H9" s="13" t="str">
        <f t="shared" si="0"/>
        <v>Engineering and Technology</v>
      </c>
    </row>
    <row r="10" spans="1:8" x14ac:dyDescent="0.25">
      <c r="A10" s="12" t="str">
        <f>Fakultas!A10</f>
        <v>F09</v>
      </c>
      <c r="B10" s="12" t="str">
        <f>Fakultas!B10</f>
        <v>School of Interdisciplinary Management and Technology</v>
      </c>
      <c r="C10" s="12">
        <f>IFERROR(AVERAGEIFS(Publikasi_Penulis!$D:$D,Publikasi_Penulis!$C:$C,$B10,Publikasi_Penulis!$E:$E,C$1),"-")</f>
        <v>0.8</v>
      </c>
      <c r="D10" s="12">
        <f>IFERROR(AVERAGEIFS(Publikasi_Penulis!$D:$D,Publikasi_Penulis!$C:$C,$B10,Publikasi_Penulis!$E:$E,D$1),"-")</f>
        <v>1.8</v>
      </c>
      <c r="E10" s="12" t="str">
        <f>IFERROR(AVERAGEIFS(Publikasi_Penulis!$D:$D,Publikasi_Penulis!$C:$C,$B10,Publikasi_Penulis!$E:$E,E$1),"-")</f>
        <v>-</v>
      </c>
      <c r="F10" s="12">
        <f>IFERROR(AVERAGEIFS(Publikasi_Penulis!$D:$D,Publikasi_Penulis!$C:$C,$B10,Publikasi_Penulis!$E:$E,F$1),"-")</f>
        <v>1.1240000000000001</v>
      </c>
      <c r="G10" s="12" t="str">
        <f>IFERROR(AVERAGEIFS(Publikasi_Penulis!$D:$D,Publikasi_Penulis!$C:$C,$B10,Publikasi_Penulis!$E:$E,G$1),"-")</f>
        <v>-</v>
      </c>
      <c r="H10" s="13" t="str">
        <f t="shared" si="0"/>
        <v>Natural Sciences</v>
      </c>
    </row>
    <row r="12" spans="1:8" ht="39.75" customHeight="1" x14ac:dyDescent="0.25">
      <c r="A12" s="1" t="s">
        <v>591</v>
      </c>
      <c r="B12" s="1"/>
      <c r="C12" s="1"/>
      <c r="D12" s="1"/>
      <c r="E12" s="1"/>
      <c r="F12" s="1"/>
      <c r="G12" s="1"/>
      <c r="H12" s="1"/>
    </row>
  </sheetData>
  <mergeCells count="1">
    <mergeCell ref="A12:H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Panduan</vt:lpstr>
      <vt:lpstr>Collecting Data</vt:lpstr>
      <vt:lpstr>Fakultas</vt:lpstr>
      <vt:lpstr>Departemen</vt:lpstr>
      <vt:lpstr>Dosen</vt:lpstr>
      <vt:lpstr>Institusi_Mitra</vt:lpstr>
      <vt:lpstr>Publikasi</vt:lpstr>
      <vt:lpstr>Publikasi_Penulis</vt:lpstr>
      <vt:lpstr>Naskah_Pipeline</vt:lpstr>
      <vt:lpstr>Universitas_Pembanding</vt:lpstr>
      <vt:lpstr>Universitas_Pembanding_FWCI</vt:lpstr>
      <vt:lpstr>Metrik_ITS_Tahunan</vt:lpstr>
      <vt:lpstr>Kolaborasi_Pembanding</vt:lpstr>
      <vt:lpstr>Topik_Unggulan_Fakultas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Hartantya Ainiyatuts Tsaniyah</cp:lastModifiedBy>
  <cp:revision>0</cp:revision>
  <dcterms:created xsi:type="dcterms:W3CDTF">2026-07-26T23:09:44Z</dcterms:created>
  <dcterms:modified xsi:type="dcterms:W3CDTF">2026-07-27T07:31:01Z</dcterms:modified>
  <dc:language>en-US</dc:language>
</cp:coreProperties>
</file>