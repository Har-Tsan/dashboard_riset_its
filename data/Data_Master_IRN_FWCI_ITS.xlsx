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Fakultas" sheetId="2" state="visible" r:id="rId4"/>
    <sheet name="Departemen" sheetId="3" state="visible" r:id="rId5"/>
    <sheet name="Dosen" sheetId="4" state="visible" r:id="rId6"/>
    <sheet name="Institusi_Mitra" sheetId="5" state="visible" r:id="rId7"/>
    <sheet name="Publikasi" sheetId="6" state="visible" r:id="rId8"/>
    <sheet name="Publikasi_Penulis" sheetId="7" state="visible" r:id="rId9"/>
    <sheet name="Naskah_Pipeline" sheetId="8" state="visible" r:id="rId10"/>
    <sheet name="Universitas_Pembanding" sheetId="9" state="visible" r:id="rId11"/>
    <sheet name="Universitas_Pembanding_FWCI" sheetId="10" state="visible" r:id="rId12"/>
    <sheet name="Metrik_ITS_Tahunan" sheetId="11" state="visible" r:id="rId13"/>
    <sheet name="Kolaborasi_Pembanding" sheetId="12" state="visible" r:id="rId14"/>
    <sheet name="Topik_Unggulan_Fakulta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<sst xmlns="http://schemas.openxmlformats.org/spreadsheetml/2006/main" count="1387" uniqueCount="566">
  <si>
    <t xml:space="preserve">Data Master — Dashboard Strategis IRN &amp; FWCI ITS (data dummy)</t>
  </si>
  <si>
    <t xml:space="preserve">Workbook ini adalah realisasi dari dokumen skema data yang sudah disepakati. Seluruh isi tabel adalah DATA DUMMY untuk pengujian — bukan data ITS yang sesungguhnya.</t>
  </si>
  <si>
    <t xml:space="preserve">1. Prinsip</t>
  </si>
  <si>
    <t xml:space="preserve">Hanya dua kelompok sheet yang perlu diisi manual saat data riil tersedia: (a) tabel transaksional — Publikasi, Publikasi_Penulis, Naskah_Pipeline; (b) tabel referensi — Fakultas, Departemen, Dosen, Institusi_Mitra, Universitas_Pembanding, Universitas_Pembanding_FWCI, Metrik_ITS_Tahunan, Kolaborasi_Pembanding. Sheet 'Topik_Unggulan_Fakultas' TIDAK diisi manual — seluruhnya formula, otomatis mengikuti isi Publikasi_Penulis.</t>
  </si>
  <si>
    <t xml:space="preserve">2. Warna</t>
  </si>
  <si>
    <t xml:space="preserve">Teks BIRU = kolom yang diisi manual</t>
  </si>
  <si>
    <t xml:space="preserve">Teks ABU-ABU MIRING = kolom bantu (helper), hasil VLOOKUP — jangan diedit manual, ikut menyesuaikan otomatis</t>
  </si>
  <si>
    <t xml:space="preserve">Teks HITAM = formula perhitungan</t>
  </si>
  <si>
    <t xml:space="preserve">3. Topik/bidang unggulan fakultas</t>
  </si>
  <si>
    <t xml:space="preserve">Dihitung otomatis di sheet Topik_Unggulan_Fakultas: rata-rata FWCI dikelompokkan per bidang QS dari seluruh publikasi dosen-dosen fakultas itu (lewat Publikasi_Penulis), lalu bidang dengan rata-rata TERTINGGI menjadi topik unggulan. Bukan lagi field manual.</t>
  </si>
  <si>
    <t xml:space="preserve">4. Urutan sheet</t>
  </si>
  <si>
    <t xml:space="preserve">Fakultas -&gt; Departemen -&gt; Dosen -&gt; Institusi_Mitra -&gt; Publikasi -&gt; Publikasi_Penulis -&gt; Naskah_Pipeline -&gt; Universitas_Pembanding -&gt; Universitas_Pembanding_FWCI -&gt; Metrik_ITS_Tahunan -&gt; Kolaborasi_Pembanding -&gt; Topik_Unggulan_Fakultas (hasil).</t>
  </si>
  <si>
    <t xml:space="preserve">id</t>
  </si>
  <si>
    <t xml:space="preserve">nama_fakultas</t>
  </si>
  <si>
    <t xml:space="preserve">F01</t>
  </si>
  <si>
    <t xml:space="preserve">Faculty of Marine Technology</t>
  </si>
  <si>
    <t xml:space="preserve">F02</t>
  </si>
  <si>
    <t xml:space="preserve">Faculty of Intelligent Electrical and Informatics Technology</t>
  </si>
  <si>
    <t xml:space="preserve">F03</t>
  </si>
  <si>
    <t xml:space="preserve">Faculty of Civil, Planning, and Geo-Engineering</t>
  </si>
  <si>
    <t xml:space="preserve">F04</t>
  </si>
  <si>
    <t xml:space="preserve">Faculty of Industrial Technology and System Engineering</t>
  </si>
  <si>
    <t xml:space="preserve">F05</t>
  </si>
  <si>
    <t xml:space="preserve">Faculty of Creative Design and Digital Business</t>
  </si>
  <si>
    <t xml:space="preserve">F06</t>
  </si>
  <si>
    <t xml:space="preserve">Faculty of Medicine and Health</t>
  </si>
  <si>
    <t xml:space="preserve">F07</t>
  </si>
  <si>
    <t xml:space="preserve">Faculty of Science and Data Analytics</t>
  </si>
  <si>
    <t xml:space="preserve">F08</t>
  </si>
  <si>
    <t xml:space="preserve">Faculty of Vocation</t>
  </si>
  <si>
    <t xml:space="preserve">F09</t>
  </si>
  <si>
    <t xml:space="preserve">School of Interdisciplinary Management and Technology</t>
  </si>
  <si>
    <t xml:space="preserve">fakultas_id</t>
  </si>
  <si>
    <t xml:space="preserve">nama_departemen</t>
  </si>
  <si>
    <t xml:space="preserve">Fakultas (helper)</t>
  </si>
  <si>
    <t xml:space="preserve">D01</t>
  </si>
  <si>
    <t xml:space="preserve">Department of Marine Transportation Engineering</t>
  </si>
  <si>
    <t xml:space="preserve">D02</t>
  </si>
  <si>
    <t xml:space="preserve">Department of Marine Engineering</t>
  </si>
  <si>
    <t xml:space="preserve">D03</t>
  </si>
  <si>
    <t xml:space="preserve">Department of Information Technology</t>
  </si>
  <si>
    <t xml:space="preserve">D04</t>
  </si>
  <si>
    <t xml:space="preserve">Department of Informatics</t>
  </si>
  <si>
    <t xml:space="preserve">D05</t>
  </si>
  <si>
    <t xml:space="preserve">Department of Electrical Engineering</t>
  </si>
  <si>
    <t xml:space="preserve">D06</t>
  </si>
  <si>
    <t xml:space="preserve">Departemen contoh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</si>
  <si>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</si>
  <si>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</si>
  <si>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</si>
  <si>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</si>
  <si>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</si>
  <si>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</si>
  <si>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departemen_id</t>
  </si>
  <si>
    <t xml:space="preserve">nama</t>
  </si>
  <si>
    <t xml:space="preserve">DS001</t>
  </si>
  <si>
    <t xml:space="preserve">Tri Achmadi, Ir., Ph.D.</t>
  </si>
  <si>
    <t xml:space="preserve">DS002</t>
  </si>
  <si>
    <t xml:space="preserve">Dosen 01</t>
  </si>
  <si>
    <t xml:space="preserve">DS003</t>
  </si>
  <si>
    <t xml:space="preserve">Dosen 02</t>
  </si>
  <si>
    <t xml:space="preserve">DS004</t>
  </si>
  <si>
    <t xml:space="preserve">Dosen 03</t>
  </si>
  <si>
    <t xml:space="preserve">DS005</t>
  </si>
  <si>
    <t xml:space="preserve">I Gde Manik Sukanegara Adhita, S.T., M.MST., Ph.D.</t>
  </si>
  <si>
    <t xml:space="preserve">DS006</t>
  </si>
  <si>
    <t xml:space="preserve">Thariq Arafatul Akbar, S.T., M.T.</t>
  </si>
  <si>
    <t xml:space="preserve">DS007</t>
  </si>
  <si>
    <t xml:space="preserve">Erzad Iskandar Putra</t>
  </si>
  <si>
    <t xml:space="preserve">DS008</t>
  </si>
  <si>
    <t xml:space="preserve">Dosen 04</t>
  </si>
  <si>
    <t xml:space="preserve">DS009</t>
  </si>
  <si>
    <t xml:space="preserve">Gagatsatya Adiatmaja, S.T., M.Kom.</t>
  </si>
  <si>
    <t xml:space="preserve">DS010</t>
  </si>
  <si>
    <t xml:space="preserve">Dosen 05</t>
  </si>
  <si>
    <t xml:space="preserve">DS011</t>
  </si>
  <si>
    <t xml:space="preserve">Dosen 06</t>
  </si>
  <si>
    <t xml:space="preserve">DS012</t>
  </si>
  <si>
    <t xml:space="preserve">Dosen 07</t>
  </si>
  <si>
    <t xml:space="preserve">DS013</t>
  </si>
  <si>
    <t xml:space="preserve">Ilham Gurat Adillion, S.Kom., M.Kom.</t>
  </si>
  <si>
    <t xml:space="preserve">DS014</t>
  </si>
  <si>
    <t xml:space="preserve">Tohari Ahmad</t>
  </si>
  <si>
    <t xml:space="preserve">DS015</t>
  </si>
  <si>
    <t xml:space="preserve">Dosen 08</t>
  </si>
  <si>
    <t xml:space="preserve">DS016</t>
  </si>
  <si>
    <t xml:space="preserve">Dosen 09</t>
  </si>
  <si>
    <t xml:space="preserve">DS017</t>
  </si>
  <si>
    <t xml:space="preserve">Achmad Affandi, Dr., Ir., DEA</t>
  </si>
  <si>
    <t xml:space="preserve">DS018</t>
  </si>
  <si>
    <t xml:space="preserve">Dosen 10</t>
  </si>
  <si>
    <t xml:space="preserve">DS019</t>
  </si>
  <si>
    <t xml:space="preserve">Dosen 11</t>
  </si>
  <si>
    <t xml:space="preserve">DS020</t>
  </si>
  <si>
    <t xml:space="preserve">Dosen 12</t>
  </si>
  <si>
    <t xml:space="preserve">DS021</t>
  </si>
  <si>
    <t xml:space="preserve">Dosen 13</t>
  </si>
  <si>
    <t xml:space="preserve">DS022</t>
  </si>
  <si>
    <t xml:space="preserve">Dosen 14</t>
  </si>
  <si>
    <t xml:space="preserve">DS023</t>
  </si>
  <si>
    <t xml:space="preserve">Dosen 15</t>
  </si>
  <si>
    <t xml:space="preserve">DS024</t>
  </si>
  <si>
    <t xml:space="preserve">Dosen 16</t>
  </si>
  <si>
    <t xml:space="preserve">DS025</t>
  </si>
  <si>
    <t xml:space="preserve">Dosen 17</t>
  </si>
  <si>
    <t xml:space="preserve">DS026</t>
  </si>
  <si>
    <t xml:space="preserve">Dosen 18</t>
  </si>
  <si>
    <t xml:space="preserve">DS027</t>
  </si>
  <si>
    <t xml:space="preserve">Dosen 19</t>
  </si>
  <si>
    <t xml:space="preserve">DS028</t>
  </si>
  <si>
    <t xml:space="preserve">Dosen 20</t>
  </si>
  <si>
    <t xml:space="preserve">DS029</t>
  </si>
  <si>
    <t xml:space="preserve">Dosen 21</t>
  </si>
  <si>
    <t xml:space="preserve">DS030</t>
  </si>
  <si>
    <t xml:space="preserve">Dosen 22</t>
  </si>
  <si>
    <t xml:space="preserve">DS031</t>
  </si>
  <si>
    <t xml:space="preserve">Dosen 23</t>
  </si>
  <si>
    <t xml:space="preserve">DS032</t>
  </si>
  <si>
    <t xml:space="preserve">Dosen 24</t>
  </si>
  <si>
    <t xml:space="preserve">DS033</t>
  </si>
  <si>
    <t xml:space="preserve">Dosen 25</t>
  </si>
  <si>
    <t xml:space="preserve">DS034</t>
  </si>
  <si>
    <t xml:space="preserve">Dosen 26</t>
  </si>
  <si>
    <t xml:space="preserve">DS035</t>
  </si>
  <si>
    <t xml:space="preserve">Dosen 27</t>
  </si>
  <si>
    <t xml:space="preserve">DS036</t>
  </si>
  <si>
    <t xml:space="preserve">Dosen 28</t>
  </si>
  <si>
    <t xml:space="preserve">DS037</t>
  </si>
  <si>
    <t xml:space="preserve">Dosen 29</t>
  </si>
  <si>
    <t xml:space="preserve">DS038</t>
  </si>
  <si>
    <t xml:space="preserve">Dosen 30</t>
  </si>
  <si>
    <t xml:space="preserve">DS039</t>
  </si>
  <si>
    <t xml:space="preserve">Dosen 31</t>
  </si>
  <si>
    <t xml:space="preserve">DS040</t>
  </si>
  <si>
    <t xml:space="preserve">Dosen 32</t>
  </si>
  <si>
    <t xml:space="preserve">DS041</t>
  </si>
  <si>
    <t xml:space="preserve">Dosen 33</t>
  </si>
  <si>
    <t xml:space="preserve">DS042</t>
  </si>
  <si>
    <t xml:space="preserve">Dosen 34</t>
  </si>
  <si>
    <t xml:space="preserve">DS043</t>
  </si>
  <si>
    <t xml:space="preserve">Dosen 35</t>
  </si>
  <si>
    <t xml:space="preserve">DS044</t>
  </si>
  <si>
    <t xml:space="preserve">Dosen 36</t>
  </si>
  <si>
    <t xml:space="preserve">DS045</t>
  </si>
  <si>
    <t xml:space="preserve">Dosen 37</t>
  </si>
  <si>
    <t xml:space="preserve">DS046</t>
  </si>
  <si>
    <t xml:space="preserve">Dosen 38</t>
  </si>
  <si>
    <t xml:space="preserve">DS047</t>
  </si>
  <si>
    <t xml:space="preserve">Dosen 39</t>
  </si>
  <si>
    <t xml:space="preserve">DS048</t>
  </si>
  <si>
    <t xml:space="preserve">Dosen 40</t>
  </si>
  <si>
    <t xml:space="preserve">nama_institusi</t>
  </si>
  <si>
    <t xml:space="preserve">negara</t>
  </si>
  <si>
    <t xml:space="preserve">catatan</t>
  </si>
  <si>
    <t xml:space="preserve">M01</t>
  </si>
  <si>
    <t xml:space="preserve">National University of Singapore (NUS)</t>
  </si>
  <si>
    <t xml:space="preserve">Singapura</t>
  </si>
  <si>
    <t xml:space="preserve">M02</t>
  </si>
  <si>
    <t xml:space="preserve">Universiti Teknologi Malaysia (UTM)</t>
  </si>
  <si>
    <t xml:space="preserve">Malaysia</t>
  </si>
  <si>
    <t xml:space="preserve">M03</t>
  </si>
  <si>
    <t xml:space="preserve">Seoul National University</t>
  </si>
  <si>
    <t xml:space="preserve">Korea Selatan</t>
  </si>
  <si>
    <t xml:space="preserve">M04</t>
  </si>
  <si>
    <t xml:space="preserve">Kyoto University</t>
  </si>
  <si>
    <t xml:space="preserve">Jepang</t>
  </si>
  <si>
    <t xml:space="preserve">M05</t>
  </si>
  <si>
    <t xml:space="preserve">University of Queensland</t>
  </si>
  <si>
    <t xml:space="preserve">Australia</t>
  </si>
  <si>
    <t xml:space="preserve">M06</t>
  </si>
  <si>
    <t xml:space="preserve">Universitas Malaya</t>
  </si>
  <si>
    <t xml:space="preserve">M07</t>
  </si>
  <si>
    <t xml:space="preserve">TU Delft</t>
  </si>
  <si>
    <t xml:space="preserve">Belanda</t>
  </si>
  <si>
    <t xml:space="preserve">M08</t>
  </si>
  <si>
    <t xml:space="preserve">Universiti Kuala Lumpur</t>
  </si>
  <si>
    <t xml:space="preserve">M09</t>
  </si>
  <si>
    <t xml:space="preserve">University of Rwanda</t>
  </si>
  <si>
    <t xml:space="preserve">Rwanda</t>
  </si>
  <si>
    <t xml:space="preserve">M10</t>
  </si>
  <si>
    <t xml:space="preserve">KAIST</t>
  </si>
  <si>
    <t xml:space="preserve">M11</t>
  </si>
  <si>
    <t xml:space="preserve">Chulalongkorn University</t>
  </si>
  <si>
    <t xml:space="preserve">Thailand</t>
  </si>
  <si>
    <t xml:space="preserve">M12</t>
  </si>
  <si>
    <t xml:space="preserve">University of Melbourne</t>
  </si>
  <si>
    <t xml:space="preserve">M13</t>
  </si>
  <si>
    <t xml:space="preserve">IIT Delhi</t>
  </si>
  <si>
    <t xml:space="preserve">India</t>
  </si>
  <si>
    <t xml:space="preserve">M14</t>
  </si>
  <si>
    <t xml:space="preserve">Tokyo Institute of Technology</t>
  </si>
  <si>
    <t xml:space="preserve">M15</t>
  </si>
  <si>
    <t xml:space="preserve">RWTH Aachen</t>
  </si>
  <si>
    <t xml:space="preserve">Jerman</t>
  </si>
  <si>
    <t xml:space="preserve">M16</t>
  </si>
  <si>
    <t xml:space="preserve">NTU Singapore</t>
  </si>
  <si>
    <t xml:space="preserve">M17</t>
  </si>
  <si>
    <t xml:space="preserve">University of Southampton</t>
  </si>
  <si>
    <t xml:space="preserve">Inggris</t>
  </si>
  <si>
    <t xml:space="preserve">M18</t>
  </si>
  <si>
    <t xml:space="preserve">Shanghai Jiao Tong University</t>
  </si>
  <si>
    <t xml:space="preserve">Tiongkok</t>
  </si>
  <si>
    <t xml:space="preserve">M19</t>
  </si>
  <si>
    <t xml:space="preserve">KMUTT</t>
  </si>
  <si>
    <t xml:space="preserve">M20</t>
  </si>
  <si>
    <t xml:space="preserve">University of the Philippines</t>
  </si>
  <si>
    <t xml:space="preserve">Filipina</t>
  </si>
  <si>
    <t xml:space="preserve">M21</t>
  </si>
  <si>
    <t xml:space="preserve">Hanoi University of Science and Technology</t>
  </si>
  <si>
    <t xml:space="preserve">Vietnam</t>
  </si>
  <si>
    <t xml:space="preserve">M22</t>
  </si>
  <si>
    <t xml:space="preserve">Universiti Teknologi Petronas</t>
  </si>
  <si>
    <t xml:space="preserve">M23</t>
  </si>
  <si>
    <t xml:space="preserve">University of Cape Town</t>
  </si>
  <si>
    <t xml:space="preserve">Afrika Selatan</t>
  </si>
  <si>
    <t xml:space="preserve">M24</t>
  </si>
  <si>
    <t xml:space="preserve">Nanjing University</t>
  </si>
  <si>
    <t xml:space="preserve">institusi_mitra_id</t>
  </si>
  <si>
    <t xml:space="preserve">tahun_terbit</t>
  </si>
  <si>
    <t xml:space="preserve">bidang_qs</t>
  </si>
  <si>
    <t xml:space="preserve">fwci</t>
  </si>
  <si>
    <t xml:space="preserve">judul</t>
  </si>
  <si>
    <t xml:space="preserve">sumber_data</t>
  </si>
  <si>
    <t xml:space="preserve">P0001</t>
  </si>
  <si>
    <t xml:space="preserve">Natural Sciences</t>
  </si>
  <si>
    <t xml:space="preserve">Kolaborasi riset dengan National University of Singapore (NUS) (2022) (contoh)</t>
  </si>
  <si>
    <t xml:space="preserve">SciVal</t>
  </si>
  <si>
    <t xml:space="preserve">P0002</t>
  </si>
  <si>
    <t xml:space="preserve">Kolaborasi riset dengan National University of Singapore (NUS) (2023) (contoh)</t>
  </si>
  <si>
    <t xml:space="preserve">P0003</t>
  </si>
  <si>
    <t xml:space="preserve">Kolaborasi riset dengan National University of Singapore (NUS) (2024) (contoh)</t>
  </si>
  <si>
    <t xml:space="preserve">P0004</t>
  </si>
  <si>
    <t xml:space="preserve">Kolaborasi riset dengan National University of Singapore (NUS) (2025) (contoh)</t>
  </si>
  <si>
    <t xml:space="preserve">P0005</t>
  </si>
  <si>
    <t xml:space="preserve">Kolaborasi riset dengan National University of Singapore (NUS) (2026) (contoh)</t>
  </si>
  <si>
    <t xml:space="preserve">P0006</t>
  </si>
  <si>
    <t xml:space="preserve">Engineering and Technology</t>
  </si>
  <si>
    <t xml:space="preserve">Kolaborasi riset dengan Universiti Teknologi Malaysia (UTM) (2024) (contoh)</t>
  </si>
  <si>
    <t xml:space="preserve">P0007</t>
  </si>
  <si>
    <t xml:space="preserve">Kolaborasi riset dengan Universiti Teknologi Malaysia (UTM) (2025) (contoh)</t>
  </si>
  <si>
    <t xml:space="preserve">P0008</t>
  </si>
  <si>
    <t xml:space="preserve">Kolaborasi riset dengan Universiti Teknologi Malaysia (UTM) (2026) (contoh)</t>
  </si>
  <si>
    <t xml:space="preserve">P0009</t>
  </si>
  <si>
    <t xml:space="preserve">Kolaborasi riset dengan Seoul National University (2023) (contoh)</t>
  </si>
  <si>
    <t xml:space="preserve">P0010</t>
  </si>
  <si>
    <t xml:space="preserve">Kolaborasi riset dengan Seoul National University (2024) (contoh)</t>
  </si>
  <si>
    <t xml:space="preserve">P0011</t>
  </si>
  <si>
    <t xml:space="preserve">Kolaborasi riset dengan Seoul National University (2025) (contoh)</t>
  </si>
  <si>
    <t xml:space="preserve">P0012</t>
  </si>
  <si>
    <t xml:space="preserve">Kolaborasi riset dengan Seoul National University (2026) (contoh)</t>
  </si>
  <si>
    <t xml:space="preserve">P0013</t>
  </si>
  <si>
    <t xml:space="preserve">Life Sciences and Medicine</t>
  </si>
  <si>
    <t xml:space="preserve">Kolaborasi riset dengan Kyoto University (2022) (contoh)</t>
  </si>
  <si>
    <t xml:space="preserve">P0014</t>
  </si>
  <si>
    <t xml:space="preserve">Kolaborasi riset dengan Kyoto University (2023) (contoh)</t>
  </si>
  <si>
    <t xml:space="preserve">P0015</t>
  </si>
  <si>
    <t xml:space="preserve">Kolaborasi riset dengan Kyoto University (2024) (contoh)</t>
  </si>
  <si>
    <t xml:space="preserve">P0016</t>
  </si>
  <si>
    <t xml:space="preserve">Kolaborasi riset dengan University of Queensland (2022) (contoh)</t>
  </si>
  <si>
    <t xml:space="preserve">P0017</t>
  </si>
  <si>
    <t xml:space="preserve">Kolaborasi riset dengan University of Queensland (2023) (contoh)</t>
  </si>
  <si>
    <t xml:space="preserve">P0018</t>
  </si>
  <si>
    <t xml:space="preserve">Kolaborasi riset dengan University of Queensland (2024) (contoh)</t>
  </si>
  <si>
    <t xml:space="preserve">P0019</t>
  </si>
  <si>
    <t xml:space="preserve">Social Sciences and Management</t>
  </si>
  <si>
    <t xml:space="preserve">Kolaborasi riset dengan Universitas Malaya (2022) (contoh)</t>
  </si>
  <si>
    <t xml:space="preserve">P0020</t>
  </si>
  <si>
    <t xml:space="preserve">Kolaborasi riset dengan Universitas Malaya (2023) (contoh)</t>
  </si>
  <si>
    <t xml:space="preserve">P0021</t>
  </si>
  <si>
    <t xml:space="preserve">Kolaborasi riset dengan Universitas Malaya (2024) (contoh)</t>
  </si>
  <si>
    <t xml:space="preserve">P0022</t>
  </si>
  <si>
    <t xml:space="preserve">Kolaborasi riset dengan TU Delft (2025) (contoh)</t>
  </si>
  <si>
    <t xml:space="preserve">P0023</t>
  </si>
  <si>
    <t xml:space="preserve">Kolaborasi riset dengan TU Delft (2026) (contoh)</t>
  </si>
  <si>
    <t xml:space="preserve">P0024</t>
  </si>
  <si>
    <t xml:space="preserve">Kolaborasi riset dengan Universiti Kuala Lumpur (2026) (contoh)</t>
  </si>
  <si>
    <t xml:space="preserve">P0025</t>
  </si>
  <si>
    <t xml:space="preserve">Kolaborasi riset dengan University of Rwanda (2026) (contoh)</t>
  </si>
  <si>
    <t xml:space="preserve">P0026</t>
  </si>
  <si>
    <t xml:space="preserve">Kolaborasi riset dengan KAIST (2025) (contoh)</t>
  </si>
  <si>
    <t xml:space="preserve">P0027</t>
  </si>
  <si>
    <t xml:space="preserve">Kolaborasi riset dengan KAIST (2026) (contoh)</t>
  </si>
  <si>
    <t xml:space="preserve">P0028</t>
  </si>
  <si>
    <t xml:space="preserve">Kolaborasi riset dengan University of Melbourne (2025) (contoh)</t>
  </si>
  <si>
    <t xml:space="preserve">P0029</t>
  </si>
  <si>
    <t xml:space="preserve">Kolaborasi riset dengan University of Melbourne (2026) (contoh)</t>
  </si>
  <si>
    <t xml:space="preserve">P0030</t>
  </si>
  <si>
    <t xml:space="preserve">Kolaborasi riset dengan IIT Delhi (2024) (contoh)</t>
  </si>
  <si>
    <t xml:space="preserve">P0031</t>
  </si>
  <si>
    <t xml:space="preserve">Kolaborasi riset dengan IIT Delhi (2025) (contoh)</t>
  </si>
  <si>
    <t xml:space="preserve">P0032</t>
  </si>
  <si>
    <t xml:space="preserve">Kolaborasi riset dengan RWTH Aachen (2025) (contoh)</t>
  </si>
  <si>
    <t xml:space="preserve">P0033</t>
  </si>
  <si>
    <t xml:space="preserve">Kolaborasi riset dengan University of Southampton (2022) (contoh)</t>
  </si>
  <si>
    <t xml:space="preserve">P0034</t>
  </si>
  <si>
    <t xml:space="preserve">Kolaborasi riset dengan Shanghai Jiao Tong University (2023) (contoh)</t>
  </si>
  <si>
    <t xml:space="preserve">P0035</t>
  </si>
  <si>
    <t xml:space="preserve">Arts and Humanities</t>
  </si>
  <si>
    <t xml:space="preserve">Kolaborasi riset dengan University of the Philippines (2022) (contoh)</t>
  </si>
  <si>
    <t xml:space="preserve">P0036</t>
  </si>
  <si>
    <t xml:space="preserve">Kolaborasi riset dengan Universiti Teknologi Petronas (2017) (contoh)</t>
  </si>
  <si>
    <t xml:space="preserve">P0037</t>
  </si>
  <si>
    <t xml:space="preserve">Kolaborasi riset dengan Universiti Teknologi Petronas (2018) (contoh)</t>
  </si>
  <si>
    <t xml:space="preserve">P0038</t>
  </si>
  <si>
    <t xml:space="preserve">Kolaborasi riset dengan Universiti Teknologi Petronas (2019) (contoh)</t>
  </si>
  <si>
    <t xml:space="preserve">P0039</t>
  </si>
  <si>
    <t xml:space="preserve">Kolaborasi riset dengan University of Cape Town (2015) (contoh)</t>
  </si>
  <si>
    <t xml:space="preserve">P0040</t>
  </si>
  <si>
    <t xml:space="preserve">Kolaborasi riset dengan University of Cape Town (2016) (contoh)</t>
  </si>
  <si>
    <t xml:space="preserve">P0041</t>
  </si>
  <si>
    <t xml:space="preserve">Kolaborasi riset dengan University of Cape Town (2017) (contoh)</t>
  </si>
  <si>
    <t xml:space="preserve">P0042</t>
  </si>
  <si>
    <t xml:space="preserve">Kolaborasi riset dengan University of Cape Town (2018) (contoh)</t>
  </si>
  <si>
    <t xml:space="preserve">P0043</t>
  </si>
  <si>
    <t xml:space="preserve">Kolaborasi riset dengan Nanjing University (2017) (contoh)</t>
  </si>
  <si>
    <t xml:space="preserve">P0044</t>
  </si>
  <si>
    <t xml:space="preserve">Kolaborasi riset dengan Nanjing University (2018) (contoh)</t>
  </si>
  <si>
    <t xml:space="preserve">P0045</t>
  </si>
  <si>
    <t xml:space="preserve">Kolaborasi riset dengan Nanjing University (2019) (contoh)</t>
  </si>
  <si>
    <t xml:space="preserve">P0046</t>
  </si>
  <si>
    <t xml:space="preserve">Studi domestik oleh Tri Achmadi, Ir., Ph.D. (2022) (contoh)</t>
  </si>
  <si>
    <t xml:space="preserve">Scholar API</t>
  </si>
  <si>
    <t xml:space="preserve">P0047</t>
  </si>
  <si>
    <t xml:space="preserve">Studi domestik oleh Tri Achmadi, Ir., Ph.D. (2024) (contoh)</t>
  </si>
  <si>
    <t xml:space="preserve">P0048</t>
  </si>
  <si>
    <t xml:space="preserve">Studi domestik oleh Dosen 01 (2025) (contoh)</t>
  </si>
  <si>
    <t xml:space="preserve">P0049</t>
  </si>
  <si>
    <t xml:space="preserve">Studi domestik oleh Dosen 01 (2026) (contoh)</t>
  </si>
  <si>
    <t xml:space="preserve">P0050</t>
  </si>
  <si>
    <t xml:space="preserve">P0051</t>
  </si>
  <si>
    <t xml:space="preserve">Studi domestik oleh Dosen 02 (2026) (contoh)</t>
  </si>
  <si>
    <t xml:space="preserve">P0052</t>
  </si>
  <si>
    <t xml:space="preserve">Studi domestik oleh Dosen 03 (2023) (contoh)</t>
  </si>
  <si>
    <t xml:space="preserve">P0053</t>
  </si>
  <si>
    <t xml:space="preserve">Studi domestik oleh I Gde Manik Sukanegara Adhita, S.T., M.MST., Ph.D. (2026) (contoh)</t>
  </si>
  <si>
    <t xml:space="preserve">P0054</t>
  </si>
  <si>
    <t xml:space="preserve">Studi domestik oleh I Gde Manik Sukanegara Adhita, S.T., M.MST., Ph.D. (2025) (contoh)</t>
  </si>
  <si>
    <t xml:space="preserve">P0055</t>
  </si>
  <si>
    <t xml:space="preserve">Studi domestik oleh Thariq Arafatul Akbar, S.T., M.T. (2022) (contoh)</t>
  </si>
  <si>
    <t xml:space="preserve">P0056</t>
  </si>
  <si>
    <t xml:space="preserve">Studi domestik oleh Erzad Iskandar Putra (2024) (contoh)</t>
  </si>
  <si>
    <t xml:space="preserve">P0057</t>
  </si>
  <si>
    <t xml:space="preserve">Studi domestik oleh Erzad Iskandar Putra (2025) (contoh)</t>
  </si>
  <si>
    <t xml:space="preserve">P0058</t>
  </si>
  <si>
    <t xml:space="preserve">Studi domestik oleh Dosen 04 (2024) (contoh)</t>
  </si>
  <si>
    <t xml:space="preserve">P0059</t>
  </si>
  <si>
    <t xml:space="preserve">Studi domestik oleh Dosen 04 (2022) (contoh)</t>
  </si>
  <si>
    <t xml:space="preserve">P0060</t>
  </si>
  <si>
    <t xml:space="preserve">Studi domestik oleh Dosen 04 (2026) (contoh)</t>
  </si>
  <si>
    <t xml:space="preserve">P0061</t>
  </si>
  <si>
    <t xml:space="preserve">Studi domestik oleh Gagatsatya Adiatmaja, S.T., M.Kom. (2026) (contoh)</t>
  </si>
  <si>
    <t xml:space="preserve">P0062</t>
  </si>
  <si>
    <t xml:space="preserve">Studi domestik oleh Dosen 05 (2024) (contoh)</t>
  </si>
  <si>
    <t xml:space="preserve">P0063</t>
  </si>
  <si>
    <t xml:space="preserve">P0064</t>
  </si>
  <si>
    <t xml:space="preserve">Studi domestik oleh Dosen 05 (2023) (contoh)</t>
  </si>
  <si>
    <t xml:space="preserve">P0065</t>
  </si>
  <si>
    <t xml:space="preserve">Studi domestik oleh Dosen 06 (2022) (contoh)</t>
  </si>
  <si>
    <t xml:space="preserve">P0066</t>
  </si>
  <si>
    <t xml:space="preserve">Studi domestik oleh Dosen 06 (2023) (contoh)</t>
  </si>
  <si>
    <t xml:space="preserve">P0067</t>
  </si>
  <si>
    <t xml:space="preserve">Studi domestik oleh Dosen 07 (2024) (contoh)</t>
  </si>
  <si>
    <t xml:space="preserve">P0068</t>
  </si>
  <si>
    <t xml:space="preserve">Studi domestik oleh Ilham Gurat Adillion, S.Kom., M.Kom. (2026) (contoh)</t>
  </si>
  <si>
    <t xml:space="preserve">P0069</t>
  </si>
  <si>
    <t xml:space="preserve">Studi domestik oleh Tohari Ahmad (2024) (contoh)</t>
  </si>
  <si>
    <t xml:space="preserve">P0070</t>
  </si>
  <si>
    <t xml:space="preserve">Studi domestik oleh Tohari Ahmad (2022) (contoh)</t>
  </si>
  <si>
    <t xml:space="preserve">P0071</t>
  </si>
  <si>
    <t xml:space="preserve">Studi domestik oleh Dosen 08 (2026) (contoh)</t>
  </si>
  <si>
    <t xml:space="preserve">P0072</t>
  </si>
  <si>
    <t xml:space="preserve">Studi domestik oleh Dosen 09 (2022) (contoh)</t>
  </si>
  <si>
    <t xml:space="preserve">P0073</t>
  </si>
  <si>
    <t xml:space="preserve">Studi domestik oleh Achmad Affandi, Dr., Ir., DEA (2022) (contoh)</t>
  </si>
  <si>
    <t xml:space="preserve">P0074</t>
  </si>
  <si>
    <t xml:space="preserve">Studi domestik oleh Dosen 10 (2025) (contoh)</t>
  </si>
  <si>
    <t xml:space="preserve">P0075</t>
  </si>
  <si>
    <t xml:space="preserve">Studi domestik oleh Dosen 10 (2026) (contoh)</t>
  </si>
  <si>
    <t xml:space="preserve">P0076</t>
  </si>
  <si>
    <t xml:space="preserve">Studi domestik oleh Dosen 11 (2025) (contoh)</t>
  </si>
  <si>
    <t xml:space="preserve">P0077</t>
  </si>
  <si>
    <t xml:space="preserve">P0078</t>
  </si>
  <si>
    <t xml:space="preserve">Studi domestik oleh Dosen 12 (2022) (contoh)</t>
  </si>
  <si>
    <t xml:space="preserve">P0079</t>
  </si>
  <si>
    <t xml:space="preserve">P0080</t>
  </si>
  <si>
    <t xml:space="preserve">P0081</t>
  </si>
  <si>
    <t xml:space="preserve">Studi domestik oleh Dosen 13 (2023) (contoh)</t>
  </si>
  <si>
    <t xml:space="preserve">P0082</t>
  </si>
  <si>
    <t xml:space="preserve">P0083</t>
  </si>
  <si>
    <t xml:space="preserve">Studi domestik oleh Dosen 14 (2022) (contoh)</t>
  </si>
  <si>
    <t xml:space="preserve">P0084</t>
  </si>
  <si>
    <t xml:space="preserve">P0085</t>
  </si>
  <si>
    <t xml:space="preserve">Studi domestik oleh Dosen 14 (2025) (contoh)</t>
  </si>
  <si>
    <t xml:space="preserve">P0086</t>
  </si>
  <si>
    <t xml:space="preserve">Studi domestik oleh Dosen 15 (2023) (contoh)</t>
  </si>
  <si>
    <t xml:space="preserve">P0087</t>
  </si>
  <si>
    <t xml:space="preserve">Studi domestik oleh Dosen 16 (2025) (contoh)</t>
  </si>
  <si>
    <t xml:space="preserve">P0088</t>
  </si>
  <si>
    <t xml:space="preserve">Studi domestik oleh Dosen 16 (2026) (contoh)</t>
  </si>
  <si>
    <t xml:space="preserve">P0089</t>
  </si>
  <si>
    <t xml:space="preserve">Studi domestik oleh Dosen 17 (2024) (contoh)</t>
  </si>
  <si>
    <t xml:space="preserve">P0090</t>
  </si>
  <si>
    <t xml:space="preserve">Studi domestik oleh Dosen 18 (2026) (contoh)</t>
  </si>
  <si>
    <t xml:space="preserve">P0091</t>
  </si>
  <si>
    <t xml:space="preserve">Studi domestik oleh Dosen 18 (2022) (contoh)</t>
  </si>
  <si>
    <t xml:space="preserve">P0092</t>
  </si>
  <si>
    <t xml:space="preserve">P0093</t>
  </si>
  <si>
    <t xml:space="preserve">Studi domestik oleh Dosen 19 (2023) (contoh)</t>
  </si>
  <si>
    <t xml:space="preserve">P0094</t>
  </si>
  <si>
    <t xml:space="preserve">Studi domestik oleh Dosen 20 (2025) (contoh)</t>
  </si>
  <si>
    <t xml:space="preserve">P0095</t>
  </si>
  <si>
    <t xml:space="preserve">Studi domestik oleh Dosen 21 (2026) (contoh)</t>
  </si>
  <si>
    <t xml:space="preserve">P0096</t>
  </si>
  <si>
    <t xml:space="preserve">Studi domestik oleh Dosen 22 (2026) (contoh)</t>
  </si>
  <si>
    <t xml:space="preserve">P0097</t>
  </si>
  <si>
    <t xml:space="preserve">Studi domestik oleh Dosen 22 (2024) (contoh)</t>
  </si>
  <si>
    <t xml:space="preserve">P0098</t>
  </si>
  <si>
    <t xml:space="preserve">Studi domestik oleh Dosen 23 (2024) (contoh)</t>
  </si>
  <si>
    <t xml:space="preserve">P0099</t>
  </si>
  <si>
    <t xml:space="preserve">Studi domestik oleh Dosen 24 (2025) (contoh)</t>
  </si>
  <si>
    <t xml:space="preserve">P0100</t>
  </si>
  <si>
    <t xml:space="preserve">Studi domestik oleh Dosen 24 (2022) (contoh)</t>
  </si>
  <si>
    <t xml:space="preserve">P0101</t>
  </si>
  <si>
    <t xml:space="preserve">Studi domestik oleh Dosen 25 (2022) (contoh)</t>
  </si>
  <si>
    <t xml:space="preserve">P0102</t>
  </si>
  <si>
    <t xml:space="preserve">Studi domestik oleh Dosen 25 (2024) (contoh)</t>
  </si>
  <si>
    <t xml:space="preserve">P0103</t>
  </si>
  <si>
    <t xml:space="preserve">P0104</t>
  </si>
  <si>
    <t xml:space="preserve">Studi domestik oleh Dosen 26 (2026) (contoh)</t>
  </si>
  <si>
    <t xml:space="preserve">P0105</t>
  </si>
  <si>
    <t xml:space="preserve">P0106</t>
  </si>
  <si>
    <t xml:space="preserve">Studi domestik oleh Dosen 27 (2022) (contoh)</t>
  </si>
  <si>
    <t xml:space="preserve">P0107</t>
  </si>
  <si>
    <t xml:space="preserve">P0108</t>
  </si>
  <si>
    <t xml:space="preserve">Studi domestik oleh Dosen 28 (2026) (contoh)</t>
  </si>
  <si>
    <t xml:space="preserve">P0109</t>
  </si>
  <si>
    <t xml:space="preserve">Studi domestik oleh Dosen 28 (2024) (contoh)</t>
  </si>
  <si>
    <t xml:space="preserve">P0110</t>
  </si>
  <si>
    <t xml:space="preserve">Studi domestik oleh Dosen 29 (2022) (contoh)</t>
  </si>
  <si>
    <t xml:space="preserve">P0111</t>
  </si>
  <si>
    <t xml:space="preserve">Studi domestik oleh Dosen 30 (2022) (contoh)</t>
  </si>
  <si>
    <t xml:space="preserve">P0112</t>
  </si>
  <si>
    <t xml:space="preserve">Studi domestik oleh Dosen 31 (2023) (contoh)</t>
  </si>
  <si>
    <t xml:space="preserve">P0113</t>
  </si>
  <si>
    <t xml:space="preserve">Studi domestik oleh Dosen 31 (2025) (contoh)</t>
  </si>
  <si>
    <t xml:space="preserve">P0114</t>
  </si>
  <si>
    <t xml:space="preserve">Studi domestik oleh Dosen 32 (2023) (contoh)</t>
  </si>
  <si>
    <t xml:space="preserve">P0115</t>
  </si>
  <si>
    <t xml:space="preserve">Studi domestik oleh Dosen 32 (2026) (contoh)</t>
  </si>
  <si>
    <t xml:space="preserve">P0116</t>
  </si>
  <si>
    <t xml:space="preserve">Studi domestik oleh Dosen 32 (2022) (contoh)</t>
  </si>
  <si>
    <t xml:space="preserve">P0117</t>
  </si>
  <si>
    <t xml:space="preserve">Studi domestik oleh Dosen 33 (2024) (contoh)</t>
  </si>
  <si>
    <t xml:space="preserve">P0118</t>
  </si>
  <si>
    <t xml:space="preserve">Studi domestik oleh Dosen 34 (2024) (contoh)</t>
  </si>
  <si>
    <t xml:space="preserve">P0119</t>
  </si>
  <si>
    <t xml:space="preserve">Studi domestik oleh Dosen 35 (2023) (contoh)</t>
  </si>
  <si>
    <t xml:space="preserve">P0120</t>
  </si>
  <si>
    <t xml:space="preserve">P0121</t>
  </si>
  <si>
    <t xml:space="preserve">Studi domestik oleh Dosen 35 (2024) (contoh)</t>
  </si>
  <si>
    <t xml:space="preserve">P0122</t>
  </si>
  <si>
    <t xml:space="preserve">Studi domestik oleh Dosen 36 (2023) (contoh)</t>
  </si>
  <si>
    <t xml:space="preserve">P0123</t>
  </si>
  <si>
    <t xml:space="preserve">Studi domestik oleh Dosen 36 (2022) (contoh)</t>
  </si>
  <si>
    <t xml:space="preserve">P0124</t>
  </si>
  <si>
    <t xml:space="preserve">Studi domestik oleh Dosen 36 (2025) (contoh)</t>
  </si>
  <si>
    <t xml:space="preserve">P0125</t>
  </si>
  <si>
    <t xml:space="preserve">Studi domestik oleh Dosen 37 (2024) (contoh)</t>
  </si>
  <si>
    <t xml:space="preserve">P0126</t>
  </si>
  <si>
    <t xml:space="preserve">Studi domestik oleh Dosen 37 (2023) (contoh)</t>
  </si>
  <si>
    <t xml:space="preserve">P0127</t>
  </si>
  <si>
    <t xml:space="preserve">Studi domestik oleh Dosen 38 (2024) (contoh)</t>
  </si>
  <si>
    <t xml:space="preserve">P0128</t>
  </si>
  <si>
    <t xml:space="preserve">P0129</t>
  </si>
  <si>
    <t xml:space="preserve">Studi domestik oleh Dosen 39 (2026) (contoh)</t>
  </si>
  <si>
    <t xml:space="preserve">P0130</t>
  </si>
  <si>
    <t xml:space="preserve">Studi domestik oleh Dosen 39 (2024) (contoh)</t>
  </si>
  <si>
    <t xml:space="preserve">P0131</t>
  </si>
  <si>
    <t xml:space="preserve">P0132</t>
  </si>
  <si>
    <t xml:space="preserve">Studi domestik oleh Dosen 40 (2024) (contoh)</t>
  </si>
  <si>
    <t xml:space="preserve">P0133</t>
  </si>
  <si>
    <t xml:space="preserve">Studi domestik oleh Dosen 40 (2022) (contoh)</t>
  </si>
  <si>
    <t xml:space="preserve">publikasi_id</t>
  </si>
  <si>
    <t xml:space="preserve">dosen_id</t>
  </si>
  <si>
    <t xml:space="preserve">FWCI (helper)</t>
  </si>
  <si>
    <t xml:space="preserve">Bidang (helper)</t>
  </si>
  <si>
    <t xml:space="preserve">Tahun (helper)</t>
  </si>
  <si>
    <t xml:space="preserve">status_naskah</t>
  </si>
  <si>
    <t xml:space="preserve">target_jurnal</t>
  </si>
  <si>
    <t xml:space="preserve">estimasi_tahun_terbit</t>
  </si>
  <si>
    <t xml:space="preserve">Institusi (helper)</t>
  </si>
  <si>
    <t xml:space="preserve">Dosen (helper)</t>
  </si>
  <si>
    <t xml:space="preserve">N001</t>
  </si>
  <si>
    <t xml:space="preserve">Structural Fatigue Analysis of Offshore Wind Turbine Foundations (contoh)</t>
  </si>
  <si>
    <t xml:space="preserve">Under review</t>
  </si>
  <si>
    <t xml:space="preserve">Ocean Engineering</t>
  </si>
  <si>
    <t xml:space="preserve">N002</t>
  </si>
  <si>
    <t xml:space="preserve">Hybrid Propulsion System Efficiency for Short-Sea Shipping (contoh)</t>
  </si>
  <si>
    <t xml:space="preserve">Submitted</t>
  </si>
  <si>
    <t xml:space="preserve">Applied Energy</t>
  </si>
  <si>
    <t xml:space="preserve">N003</t>
  </si>
  <si>
    <t xml:space="preserve">Life Cycle Cost Comparison of Alternative Marine Fuels (contoh)</t>
  </si>
  <si>
    <t xml:space="preserve">Dalam penyusunan</t>
  </si>
  <si>
    <t xml:space="preserve">Transportation Research Part D</t>
  </si>
  <si>
    <t xml:space="preserve">N004</t>
  </si>
  <si>
    <t xml:space="preserve">Lightweight Deep Learning Model for Medical Image Steganalysis (contoh)</t>
  </si>
  <si>
    <t xml:space="preserve">IEEE Access</t>
  </si>
  <si>
    <t xml:space="preserve">N005</t>
  </si>
  <si>
    <t xml:space="preserve">Machine Learning-Based Material Discovery for Sensor Applications (contoh)</t>
  </si>
  <si>
    <t xml:space="preserve">Advanced Materials</t>
  </si>
  <si>
    <t xml:space="preserve">N006</t>
  </si>
  <si>
    <t xml:space="preserve">Cross-Border Collaborative Framework for Renewable Energy Policy (contoh)</t>
  </si>
  <si>
    <t xml:space="preserve">Energy Policy</t>
  </si>
  <si>
    <t xml:space="preserve">N007</t>
  </si>
  <si>
    <t xml:space="preserve">Comparative Analysis of ASEAN Smart Grid Readiness (contoh)</t>
  </si>
  <si>
    <t xml:space="preserve">Draft internal</t>
  </si>
  <si>
    <t xml:space="preserve">N008</t>
  </si>
  <si>
    <t xml:space="preserve">Data-Driven Approach to Regional Energy Security (contoh)</t>
  </si>
  <si>
    <t xml:space="preserve">N009</t>
  </si>
  <si>
    <t xml:space="preserve">Epidemiological Modeling of Tropical Disease Spread in Coastal Communities (contoh)</t>
  </si>
  <si>
    <t xml:space="preserve">The Lancet Regional Health</t>
  </si>
  <si>
    <t xml:space="preserve">N010</t>
  </si>
  <si>
    <t xml:space="preserve">Smart Grid Load Balancing Using Renewable Energy Sources (contoh)</t>
  </si>
  <si>
    <t xml:space="preserve">IEEE Transactions on Smart Grid</t>
  </si>
  <si>
    <t xml:space="preserve">N011</t>
  </si>
  <si>
    <t xml:space="preserve">Advanced Photonic Sensor Design for Marine Environmental Monitoring (contoh)</t>
  </si>
  <si>
    <t xml:space="preserve">Sensors and Actuators B</t>
  </si>
  <si>
    <t xml:space="preserve">N012</t>
  </si>
  <si>
    <t xml:space="preserve">Quantum-Enhanced Computational Methods for Materials Science (contoh)</t>
  </si>
  <si>
    <t xml:space="preserve">Physical Review Materials</t>
  </si>
  <si>
    <t xml:space="preserve">N013</t>
  </si>
  <si>
    <t xml:space="preserve">Autonomous Underwater Vehicle Navigation Using Reinforcement Learning (contoh)</t>
  </si>
  <si>
    <t xml:space="preserve">IEEE Journal of Oceanic Engineering</t>
  </si>
  <si>
    <t xml:space="preserve">nama_universitas</t>
  </si>
  <si>
    <t xml:space="preserve">tahun_data</t>
  </si>
  <si>
    <t xml:space="preserve">rank_qs_overall</t>
  </si>
  <si>
    <t xml:space="preserve">U01</t>
  </si>
  <si>
    <t xml:space="preserve">ITB</t>
  </si>
  <si>
    <t xml:space="preserve">Belum terverifikasi</t>
  </si>
  <si>
    <t xml:space="preserve">U02</t>
  </si>
  <si>
    <t xml:space="preserve">Universitas Indonesia</t>
  </si>
  <si>
    <t xml:space="preserve">U03</t>
  </si>
  <si>
    <t xml:space="preserve">UTM</t>
  </si>
  <si>
    <t xml:space="preserve">U04</t>
  </si>
  <si>
    <t xml:space="preserve">U05</t>
  </si>
  <si>
    <t xml:space="preserve">universitas_id</t>
  </si>
  <si>
    <t xml:space="preserve">Universitas (helper)</t>
  </si>
  <si>
    <t xml:space="preserve">tahun</t>
  </si>
  <si>
    <t xml:space="preserve">fwci_rata_rata</t>
  </si>
  <si>
    <t xml:space="preserve">skor_irn_resmi</t>
  </si>
  <si>
    <t xml:space="preserve">Belum dirilis QS</t>
  </si>
  <si>
    <t xml:space="preserve">nama_institusi_mitra</t>
  </si>
  <si>
    <t xml:space="preserve">Status vs ITS (formula)</t>
  </si>
  <si>
    <t xml:space="preserve">École Polytechnique</t>
  </si>
  <si>
    <t xml:space="preserve">Prancis</t>
  </si>
  <si>
    <t xml:space="preserve">Harvard T.H. Chan School of Public Health</t>
  </si>
  <si>
    <t xml:space="preserve">Amerika Serikat</t>
  </si>
  <si>
    <t xml:space="preserve">King Abdulaziz University</t>
  </si>
  <si>
    <t xml:space="preserve">Arab Saudi</t>
  </si>
  <si>
    <t xml:space="preserve">TU Munich</t>
  </si>
  <si>
    <t xml:space="preserve">NTNU</t>
  </si>
  <si>
    <t xml:space="preserve">Norwegia</t>
  </si>
  <si>
    <t xml:space="preserve">Tsinghua University</t>
  </si>
  <si>
    <t xml:space="preserve">MIT</t>
  </si>
  <si>
    <t xml:space="preserve">Topik/Bidang Unggulan</t>
  </si>
  <si>
    <t xml:space="preserve">Seluruh kolom di sheet ini adalah FORMULA (tidak diisi manual). Kolom bidang = rata-rata FWCI publikasi dosen fakultas itu pada bidang tersebut (lewat Publikasi_Penulis). Kolom terakhir = bidang dengan rata-rata tertinggi.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</si>
</sst>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46.25" hidden="false" customHeight="false" outlineLevel="0" collapsed="false">
      <c r="B7" s="2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5" t="s">
        <v>6</v>
      </c>
    </row>
    <row r="12" customFormat="false" ht="15" hidden="false" customHeight="false" outlineLevel="0" collapsed="false">
      <c r="B12" s="6" t="s">
        <v>7</v>
      </c>
    </row>
    <row r="14" customFormat="false" ht="15" hidden="false" customHeight="false" outlineLevel="0" collapsed="false">
      <c r="B14" s="3" t="s">
        <v>8</v>
      </c>
    </row>
    <row r="15" customFormat="false" ht="35.05" hidden="false" customHeight="false" outlineLevel="0" collapsed="false">
      <c r="B15" s="2" t="s">
        <v>9</v>
      </c>
    </row>
    <row r="17" customFormat="false" ht="15" hidden="false" customHeight="false" outlineLevel="0" collapsed="false">
      <c r="B17" s="3" t="s">
        <v>10</v>
      </c>
    </row>
    <row r="18" customFormat="false" ht="35.05" hidden="false" customHeight="false" outlineLevel="0" collapsed="false">
      <c r="B18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7" t="s">
        <v>12</v>
      </c>
      <c r="B1" s="7" t="s">
        <v>13</v>
      </c>
    </row>
    <row r="2" customFormat="false" ht="15" hidden="false" customHeight="false" outlineLevel="0" collapsed="false">
      <c r="A2" s="8" t="s">
        <v>14</v>
      </c>
      <c r="B2" s="8" t="s">
        <v>15</v>
      </c>
    </row>
    <row r="3" customFormat="false" ht="15" hidden="false" customHeight="false" outlineLevel="0" collapsed="false">
      <c r="A3" s="8" t="s">
        <v>16</v>
      </c>
      <c r="B3" s="8" t="s">
        <v>17</v>
      </c>
    </row>
    <row r="4" customFormat="false" ht="15" hidden="false" customHeight="false" outlineLevel="0" collapsed="false">
      <c r="A4" s="8" t="s">
        <v>18</v>
      </c>
      <c r="B4" s="8" t="s">
        <v>19</v>
      </c>
    </row>
    <row r="5" customFormat="false" ht="15" hidden="false" customHeight="false" outlineLevel="0" collapsed="false">
      <c r="A5" s="8" t="s">
        <v>20</v>
      </c>
      <c r="B5" s="8" t="s">
        <v>21</v>
      </c>
    </row>
    <row r="6" customFormat="false" ht="15" hidden="false" customHeight="false" outlineLevel="0" collapsed="false">
      <c r="A6" s="8" t="s">
        <v>22</v>
      </c>
      <c r="B6" s="8" t="s">
        <v>23</v>
      </c>
    </row>
    <row r="7" customFormat="false" ht="15" hidden="false" customHeight="false" outlineLevel="0" collapsed="false">
      <c r="A7" s="8" t="s">
        <v>24</v>
      </c>
      <c r="B7" s="8" t="s">
        <v>25</v>
      </c>
    </row>
    <row r="8" customFormat="false" ht="15" hidden="false" customHeight="false" outlineLevel="0" collapsed="false">
      <c r="A8" s="8" t="s">
        <v>26</v>
      </c>
      <c r="B8" s="8" t="s">
        <v>27</v>
      </c>
    </row>
    <row r="9" customFormat="false" ht="15" hidden="false" customHeight="false" outlineLevel="0" collapsed="false">
      <c r="A9" s="8" t="s">
        <v>28</v>
      </c>
      <c r="B9" s="8" t="s">
        <v>29</v>
      </c>
    </row>
    <row r="10" customFormat="false" ht="15" hidden="false" customHeight="false" outlineLevel="0" collapsed="false">
      <c r="A10" s="8" t="s">
        <v>30</v>
      </c>
      <c r="B10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45"/>
  </cols>
  <sheetData>
    <row r="1" customFormat="false" ht="15" hidden="false" customHeight="false" outlineLevel="0" collapsed="false">
      <c r="A1" s="7" t="s">
        <v>12</v>
      </c>
      <c r="B1" s="7" t="s">
        <v>32</v>
      </c>
      <c r="C1" s="7" t="s">
        <v>33</v>
      </c>
      <c r="D1" s="7" t="s">
        <v>34</v>
      </c>
    </row>
    <row r="2" customFormat="false" ht="15" hidden="false" customHeight="false" outlineLevel="0" collapsed="false">
      <c r="A2" s="8" t="s">
        <v>35</v>
      </c>
      <c r="B2" s="8" t="s">
        <v>14</v>
      </c>
      <c r="C2" s="8" t="s">
        <v>36</v>
      </c>
      <c r="D2" s="9" t="str">
        <f aca="false">VLOOKUP(B2,Fakultas!$A:$B,2,FALSE())</f>
        <v>Faculty of Marine Technology</v>
      </c>
    </row>
    <row r="3" customFormat="false" ht="15" hidden="false" customHeight="false" outlineLevel="0" collapsed="false">
      <c r="A3" s="8" t="s">
        <v>37</v>
      </c>
      <c r="B3" s="8" t="s">
        <v>14</v>
      </c>
      <c r="C3" s="8" t="s">
        <v>38</v>
      </c>
      <c r="D3" s="9" t="str">
        <f aca="false">VLOOKUP(B3,Fakultas!$A:$B,2,FALSE())</f>
        <v>Faculty of Marine Technology</v>
      </c>
    </row>
    <row r="4" customFormat="false" ht="15" hidden="false" customHeight="false" outlineLevel="0" collapsed="false">
      <c r="A4" s="8" t="s">
        <v>39</v>
      </c>
      <c r="B4" s="8" t="s">
        <v>16</v>
      </c>
      <c r="C4" s="8" t="s">
        <v>40</v>
      </c>
      <c r="D4" s="9" t="str">
        <f aca="false">VLOOKUP(B4,Fakultas!$A:$B,2,FALSE())</f>
        <v>Faculty of Intelligent Electrical and Informatics Technology</v>
      </c>
    </row>
    <row r="5" customFormat="false" ht="15" hidden="false" customHeight="false" outlineLevel="0" collapsed="false">
      <c r="A5" s="8" t="s">
        <v>41</v>
      </c>
      <c r="B5" s="8" t="s">
        <v>16</v>
      </c>
      <c r="C5" s="8" t="s">
        <v>42</v>
      </c>
      <c r="D5" s="9" t="str">
        <f aca="false">VLOOKUP(B5,Fakultas!$A:$B,2,FALSE())</f>
        <v>Faculty of Intelligent Electrical and Informatics Technology</v>
      </c>
    </row>
    <row r="6" customFormat="false" ht="15" hidden="false" customHeight="false" outlineLevel="0" collapsed="false">
      <c r="A6" s="8" t="s">
        <v>43</v>
      </c>
      <c r="B6" s="8" t="s">
        <v>16</v>
      </c>
      <c r="C6" s="8" t="s">
        <v>44</v>
      </c>
      <c r="D6" s="9" t="str">
        <f aca="false">VLOOKUP(B6,Fakultas!$A:$B,2,FALSE())</f>
        <v>Faculty of Intelligent Electrical and Informatics Technology</v>
      </c>
    </row>
    <row r="7" customFormat="false" ht="15" hidden="false" customHeight="false" outlineLevel="0" collapsed="false">
      <c r="A7" s="8" t="s">
        <v>45</v>
      </c>
      <c r="B7" s="8" t="s">
        <v>18</v>
      </c>
      <c r="C7" s="8" t="s">
        <v>46</v>
      </c>
      <c r="D7" s="9" t="str">
        <f aca="false">VLOOKUP(B7,Fakultas!$A:$B,2,FALSE())</f>
        <v>Faculty of Civil, Planning, and Geo-Engineering</v>
      </c>
    </row>
    <row r="8" customFormat="false" ht="15" hidden="false" customHeight="false" outlineLevel="0" collapsed="false">
      <c r="A8" s="8" t="s">
        <v>47</v>
      </c>
      <c r="B8" s="8" t="s">
        <v>20</v>
      </c>
      <c r="C8" s="8" t="s">
        <v>46</v>
      </c>
      <c r="D8" s="9" t="str">
        <f aca="false">VLOOKUP(B8,Fakultas!$A:$B,2,FALSE())</f>
        <v>Faculty of Industrial Technology and System Engineering</v>
      </c>
    </row>
    <row r="9" customFormat="false" ht="15" hidden="false" customHeight="false" outlineLevel="0" collapsed="false">
      <c r="A9" s="8" t="s">
        <v>48</v>
      </c>
      <c r="B9" s="8" t="s">
        <v>22</v>
      </c>
      <c r="C9" s="8" t="s">
        <v>46</v>
      </c>
      <c r="D9" s="9" t="str">
        <f aca="false">VLOOKUP(B9,Fakultas!$A:$B,2,FALSE())</f>
        <v>Faculty of Creative Design and Digital Business</v>
      </c>
    </row>
    <row r="10" customFormat="false" ht="15" hidden="false" customHeight="false" outlineLevel="0" collapsed="false">
      <c r="A10" s="8" t="s">
        <v>49</v>
      </c>
      <c r="B10" s="8" t="s">
        <v>24</v>
      </c>
      <c r="C10" s="8" t="s">
        <v>46</v>
      </c>
      <c r="D10" s="9" t="str">
        <f aca="false">VLOOKUP(B10,Fakultas!$A:$B,2,FALSE())</f>
        <v>Faculty of Medicine and Health</v>
      </c>
    </row>
    <row r="11" customFormat="false" ht="15" hidden="false" customHeight="false" outlineLevel="0" collapsed="false">
      <c r="A11" s="8" t="s">
        <v>50</v>
      </c>
      <c r="B11" s="8" t="s">
        <v>26</v>
      </c>
      <c r="C11" s="8" t="s">
        <v>46</v>
      </c>
      <c r="D11" s="9" t="str">
        <f aca="false">VLOOKUP(B11,Fakultas!$A:$B,2,FALSE())</f>
        <v>Faculty of Science and Data Analytics</v>
      </c>
    </row>
    <row r="12" customFormat="false" ht="15" hidden="false" customHeight="false" outlineLevel="0" collapsed="false">
      <c r="A12" s="8" t="s">
        <v>51</v>
      </c>
      <c r="B12" s="8" t="s">
        <v>28</v>
      </c>
      <c r="C12" s="8" t="s">
        <v>46</v>
      </c>
      <c r="D12" s="9" t="str">
        <f aca="false">VLOOKUP(B12,Fakultas!$A:$B,2,FALSE())</f>
        <v>Faculty of Vocation</v>
      </c>
    </row>
    <row r="13" customFormat="false" ht="15" hidden="false" customHeight="false" outlineLevel="0" collapsed="false">
      <c r="A13" s="8" t="s">
        <v>52</v>
      </c>
      <c r="B13" s="8" t="s">
        <v>30</v>
      </c>
      <c r="C13" s="8" t="s">
        <v>46</v>
      </c>
      <c r="D13" s="9" t="str">
        <f aca="false">VLOOKUP(B13,Fakultas!$A:$B,2,FALSE())</f>
        <v>School of Interdisciplinary Management and Technology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45"/>
  </cols>
  <sheetData>
    <row r="1" customFormat="false" ht="23.85" hidden="false" customHeight="false" outlineLevel="0" collapsed="false">
      <c r="A1" s="7" t="s">
        <v>12</v>
      </c>
      <c r="B1" s="7" t="s">
        <v>53</v>
      </c>
      <c r="C1" s="7" t="s">
        <v>54</v>
      </c>
      <c r="D1" s="7" t="s">
        <v>34</v>
      </c>
    </row>
    <row r="2" customFormat="false" ht="15" hidden="false" customHeight="false" outlineLevel="0" collapsed="false">
      <c r="A2" s="8" t="s">
        <v>55</v>
      </c>
      <c r="B2" s="8" t="s">
        <v>35</v>
      </c>
      <c r="C2" s="8" t="s">
        <v>56</v>
      </c>
      <c r="D2" s="9" t="str">
        <f aca="false">VLOOKUP(B2,Departemen!$A:$D,4,FALSE())</f>
        <v>Faculty of Marine Technology</v>
      </c>
    </row>
    <row r="3" customFormat="false" ht="15" hidden="false" customHeight="false" outlineLevel="0" collapsed="false">
      <c r="A3" s="8" t="s">
        <v>57</v>
      </c>
      <c r="B3" s="8" t="s">
        <v>35</v>
      </c>
      <c r="C3" s="8" t="s">
        <v>58</v>
      </c>
      <c r="D3" s="9" t="str">
        <f aca="false">VLOOKUP(B3,Departemen!$A:$D,4,FALSE())</f>
        <v>Faculty of Marine Technology</v>
      </c>
    </row>
    <row r="4" customFormat="false" ht="15" hidden="false" customHeight="false" outlineLevel="0" collapsed="false">
      <c r="A4" s="8" t="s">
        <v>59</v>
      </c>
      <c r="B4" s="8" t="s">
        <v>35</v>
      </c>
      <c r="C4" s="8" t="s">
        <v>60</v>
      </c>
      <c r="D4" s="9" t="str">
        <f aca="false">VLOOKUP(B4,Departemen!$A:$D,4,FALSE())</f>
        <v>Faculty of Marine Technology</v>
      </c>
    </row>
    <row r="5" customFormat="false" ht="15" hidden="false" customHeight="false" outlineLevel="0" collapsed="false">
      <c r="A5" s="8" t="s">
        <v>61</v>
      </c>
      <c r="B5" s="8" t="s">
        <v>35</v>
      </c>
      <c r="C5" s="8" t="s">
        <v>62</v>
      </c>
      <c r="D5" s="9" t="str">
        <f aca="false">VLOOKUP(B5,Departemen!$A:$D,4,FALSE())</f>
        <v>Faculty of Marine Technology</v>
      </c>
    </row>
    <row r="6" customFormat="false" ht="15" hidden="false" customHeight="false" outlineLevel="0" collapsed="false">
      <c r="A6" s="8" t="s">
        <v>63</v>
      </c>
      <c r="B6" s="8" t="s">
        <v>37</v>
      </c>
      <c r="C6" s="8" t="s">
        <v>64</v>
      </c>
      <c r="D6" s="9" t="str">
        <f aca="false">VLOOKUP(B6,Departemen!$A:$D,4,FALSE())</f>
        <v>Faculty of Marine Technology</v>
      </c>
    </row>
    <row r="7" customFormat="false" ht="15" hidden="false" customHeight="false" outlineLevel="0" collapsed="false">
      <c r="A7" s="8" t="s">
        <v>65</v>
      </c>
      <c r="B7" s="8" t="s">
        <v>37</v>
      </c>
      <c r="C7" s="8" t="s">
        <v>66</v>
      </c>
      <c r="D7" s="9" t="str">
        <f aca="false">VLOOKUP(B7,Departemen!$A:$D,4,FALSE())</f>
        <v>Faculty of Marine Technology</v>
      </c>
    </row>
    <row r="8" customFormat="false" ht="15" hidden="false" customHeight="false" outlineLevel="0" collapsed="false">
      <c r="A8" s="8" t="s">
        <v>67</v>
      </c>
      <c r="B8" s="8" t="s">
        <v>37</v>
      </c>
      <c r="C8" s="8" t="s">
        <v>68</v>
      </c>
      <c r="D8" s="9" t="str">
        <f aca="false">VLOOKUP(B8,Departemen!$A:$D,4,FALSE())</f>
        <v>Faculty of Marine Technology</v>
      </c>
    </row>
    <row r="9" customFormat="false" ht="15" hidden="false" customHeight="false" outlineLevel="0" collapsed="false">
      <c r="A9" s="8" t="s">
        <v>69</v>
      </c>
      <c r="B9" s="8" t="s">
        <v>37</v>
      </c>
      <c r="C9" s="8" t="s">
        <v>70</v>
      </c>
      <c r="D9" s="9" t="str">
        <f aca="false">VLOOKUP(B9,Departemen!$A:$D,4,FALSE())</f>
        <v>Faculty of Marine Technology</v>
      </c>
    </row>
    <row r="10" customFormat="false" ht="15" hidden="false" customHeight="false" outlineLevel="0" collapsed="false">
      <c r="A10" s="8" t="s">
        <v>71</v>
      </c>
      <c r="B10" s="8" t="s">
        <v>39</v>
      </c>
      <c r="C10" s="8" t="s">
        <v>72</v>
      </c>
      <c r="D10" s="9" t="str">
        <f aca="false">VLOOKUP(B10,Departemen!$A:$D,4,FALSE())</f>
        <v>Faculty of Intelligent Electrical and Informatics Technology</v>
      </c>
    </row>
    <row r="11" customFormat="false" ht="15" hidden="false" customHeight="false" outlineLevel="0" collapsed="false">
      <c r="A11" s="8" t="s">
        <v>73</v>
      </c>
      <c r="B11" s="8" t="s">
        <v>39</v>
      </c>
      <c r="C11" s="8" t="s">
        <v>74</v>
      </c>
      <c r="D11" s="9" t="str">
        <f aca="false">VLOOKUP(B11,Departemen!$A:$D,4,FALSE())</f>
        <v>Faculty of Intelligent Electrical and Informatics Technology</v>
      </c>
    </row>
    <row r="12" customFormat="false" ht="15" hidden="false" customHeight="false" outlineLevel="0" collapsed="false">
      <c r="A12" s="8" t="s">
        <v>75</v>
      </c>
      <c r="B12" s="8" t="s">
        <v>39</v>
      </c>
      <c r="C12" s="8" t="s">
        <v>76</v>
      </c>
      <c r="D12" s="9" t="str">
        <f aca="false">VLOOKUP(B12,Departemen!$A:$D,4,FALSE())</f>
        <v>Faculty of Intelligent Electrical and Informatics Technology</v>
      </c>
    </row>
    <row r="13" customFormat="false" ht="15" hidden="false" customHeight="false" outlineLevel="0" collapsed="false">
      <c r="A13" s="8" t="s">
        <v>77</v>
      </c>
      <c r="B13" s="8" t="s">
        <v>39</v>
      </c>
      <c r="C13" s="8" t="s">
        <v>78</v>
      </c>
      <c r="D13" s="9" t="str">
        <f aca="false">VLOOKUP(B13,Departemen!$A:$D,4,FALSE())</f>
        <v>Faculty of Intelligent Electrical and Informatics Technology</v>
      </c>
    </row>
    <row r="14" customFormat="false" ht="15" hidden="false" customHeight="false" outlineLevel="0" collapsed="false">
      <c r="A14" s="8" t="s">
        <v>79</v>
      </c>
      <c r="B14" s="8" t="s">
        <v>41</v>
      </c>
      <c r="C14" s="8" t="s">
        <v>80</v>
      </c>
      <c r="D14" s="9" t="str">
        <f aca="false">VLOOKUP(B14,Departemen!$A:$D,4,FALSE())</f>
        <v>Faculty of Intelligent Electrical and Informatics Technology</v>
      </c>
    </row>
    <row r="15" customFormat="false" ht="15" hidden="false" customHeight="false" outlineLevel="0" collapsed="false">
      <c r="A15" s="8" t="s">
        <v>81</v>
      </c>
      <c r="B15" s="8" t="s">
        <v>41</v>
      </c>
      <c r="C15" s="8" t="s">
        <v>82</v>
      </c>
      <c r="D15" s="9" t="str">
        <f aca="false">VLOOKUP(B15,Departemen!$A:$D,4,FALSE())</f>
        <v>Faculty of Intelligent Electrical and Informatics Technology</v>
      </c>
    </row>
    <row r="16" customFormat="false" ht="15" hidden="false" customHeight="false" outlineLevel="0" collapsed="false">
      <c r="A16" s="8" t="s">
        <v>83</v>
      </c>
      <c r="B16" s="8" t="s">
        <v>41</v>
      </c>
      <c r="C16" s="8" t="s">
        <v>84</v>
      </c>
      <c r="D16" s="9" t="str">
        <f aca="false">VLOOKUP(B16,Departemen!$A:$D,4,FALSE())</f>
        <v>Faculty of Intelligent Electrical and Informatics Technology</v>
      </c>
    </row>
    <row r="17" customFormat="false" ht="15" hidden="false" customHeight="false" outlineLevel="0" collapsed="false">
      <c r="A17" s="8" t="s">
        <v>85</v>
      </c>
      <c r="B17" s="8" t="s">
        <v>41</v>
      </c>
      <c r="C17" s="8" t="s">
        <v>86</v>
      </c>
      <c r="D17" s="9" t="str">
        <f aca="false">VLOOKUP(B17,Departemen!$A:$D,4,FALSE())</f>
        <v>Faculty of Intelligent Electrical and Informatics Technology</v>
      </c>
    </row>
    <row r="18" customFormat="false" ht="15" hidden="false" customHeight="false" outlineLevel="0" collapsed="false">
      <c r="A18" s="8" t="s">
        <v>87</v>
      </c>
      <c r="B18" s="8" t="s">
        <v>43</v>
      </c>
      <c r="C18" s="8" t="s">
        <v>88</v>
      </c>
      <c r="D18" s="9" t="str">
        <f aca="false">VLOOKUP(B18,Departemen!$A:$D,4,FALSE())</f>
        <v>Faculty of Intelligent Electrical and Informatics Technology</v>
      </c>
    </row>
    <row r="19" customFormat="false" ht="15" hidden="false" customHeight="false" outlineLevel="0" collapsed="false">
      <c r="A19" s="8" t="s">
        <v>89</v>
      </c>
      <c r="B19" s="8" t="s">
        <v>43</v>
      </c>
      <c r="C19" s="8" t="s">
        <v>90</v>
      </c>
      <c r="D19" s="9" t="str">
        <f aca="false">VLOOKUP(B19,Departemen!$A:$D,4,FALSE())</f>
        <v>Faculty of Intelligent Electrical and Informatics Technology</v>
      </c>
    </row>
    <row r="20" customFormat="false" ht="15" hidden="false" customHeight="false" outlineLevel="0" collapsed="false">
      <c r="A20" s="8" t="s">
        <v>91</v>
      </c>
      <c r="B20" s="8" t="s">
        <v>43</v>
      </c>
      <c r="C20" s="8" t="s">
        <v>92</v>
      </c>
      <c r="D20" s="9" t="str">
        <f aca="false">VLOOKUP(B20,Departemen!$A:$D,4,FALSE())</f>
        <v>Faculty of Intelligent Electrical and Informatics Technology</v>
      </c>
    </row>
    <row r="21" customFormat="false" ht="15" hidden="false" customHeight="false" outlineLevel="0" collapsed="false">
      <c r="A21" s="8" t="s">
        <v>93</v>
      </c>
      <c r="B21" s="8" t="s">
        <v>43</v>
      </c>
      <c r="C21" s="8" t="s">
        <v>94</v>
      </c>
      <c r="D21" s="9" t="str">
        <f aca="false">VLOOKUP(B21,Departemen!$A:$D,4,FALSE())</f>
        <v>Faculty of Intelligent Electrical and Informatics Technology</v>
      </c>
    </row>
    <row r="22" customFormat="false" ht="15" hidden="false" customHeight="false" outlineLevel="0" collapsed="false">
      <c r="A22" s="8" t="s">
        <v>95</v>
      </c>
      <c r="B22" s="8" t="s">
        <v>45</v>
      </c>
      <c r="C22" s="8" t="s">
        <v>96</v>
      </c>
      <c r="D22" s="9" t="str">
        <f aca="false">VLOOKUP(B22,Departemen!$A:$D,4,FALSE())</f>
        <v>Faculty of Civil, Planning, and Geo-Engineering</v>
      </c>
    </row>
    <row r="23" customFormat="false" ht="15" hidden="false" customHeight="false" outlineLevel="0" collapsed="false">
      <c r="A23" s="8" t="s">
        <v>97</v>
      </c>
      <c r="B23" s="8" t="s">
        <v>45</v>
      </c>
      <c r="C23" s="8" t="s">
        <v>98</v>
      </c>
      <c r="D23" s="9" t="str">
        <f aca="false">VLOOKUP(B23,Departemen!$A:$D,4,FALSE())</f>
        <v>Faculty of Civil, Planning, and Geo-Engineering</v>
      </c>
    </row>
    <row r="24" customFormat="false" ht="15" hidden="false" customHeight="false" outlineLevel="0" collapsed="false">
      <c r="A24" s="8" t="s">
        <v>99</v>
      </c>
      <c r="B24" s="8" t="s">
        <v>45</v>
      </c>
      <c r="C24" s="8" t="s">
        <v>100</v>
      </c>
      <c r="D24" s="9" t="str">
        <f aca="false">VLOOKUP(B24,Departemen!$A:$D,4,FALSE())</f>
        <v>Faculty of Civil, Planning, and Geo-Engineering</v>
      </c>
    </row>
    <row r="25" customFormat="false" ht="15" hidden="false" customHeight="false" outlineLevel="0" collapsed="false">
      <c r="A25" s="8" t="s">
        <v>101</v>
      </c>
      <c r="B25" s="8" t="s">
        <v>45</v>
      </c>
      <c r="C25" s="8" t="s">
        <v>102</v>
      </c>
      <c r="D25" s="9" t="str">
        <f aca="false">VLOOKUP(B25,Departemen!$A:$D,4,FALSE())</f>
        <v>Faculty of Civil, Planning, and Geo-Engineering</v>
      </c>
    </row>
    <row r="26" customFormat="false" ht="15" hidden="false" customHeight="false" outlineLevel="0" collapsed="false">
      <c r="A26" s="8" t="s">
        <v>103</v>
      </c>
      <c r="B26" s="8" t="s">
        <v>47</v>
      </c>
      <c r="C26" s="8" t="s">
        <v>104</v>
      </c>
      <c r="D26" s="9" t="str">
        <f aca="false">VLOOKUP(B26,Departemen!$A:$D,4,FALSE())</f>
        <v>Faculty of Industrial Technology and System Engineering</v>
      </c>
    </row>
    <row r="27" customFormat="false" ht="15" hidden="false" customHeight="false" outlineLevel="0" collapsed="false">
      <c r="A27" s="8" t="s">
        <v>105</v>
      </c>
      <c r="B27" s="8" t="s">
        <v>47</v>
      </c>
      <c r="C27" s="8" t="s">
        <v>106</v>
      </c>
      <c r="D27" s="9" t="str">
        <f aca="false">VLOOKUP(B27,Departemen!$A:$D,4,FALSE())</f>
        <v>Faculty of Industrial Technology and System Engineering</v>
      </c>
    </row>
    <row r="28" customFormat="false" ht="15" hidden="false" customHeight="false" outlineLevel="0" collapsed="false">
      <c r="A28" s="8" t="s">
        <v>107</v>
      </c>
      <c r="B28" s="8" t="s">
        <v>47</v>
      </c>
      <c r="C28" s="8" t="s">
        <v>108</v>
      </c>
      <c r="D28" s="9" t="str">
        <f aca="false">VLOOKUP(B28,Departemen!$A:$D,4,FALSE())</f>
        <v>Faculty of Industrial Technology and System Engineering</v>
      </c>
    </row>
    <row r="29" customFormat="false" ht="15" hidden="false" customHeight="false" outlineLevel="0" collapsed="false">
      <c r="A29" s="8" t="s">
        <v>109</v>
      </c>
      <c r="B29" s="8" t="s">
        <v>47</v>
      </c>
      <c r="C29" s="8" t="s">
        <v>110</v>
      </c>
      <c r="D29" s="9" t="str">
        <f aca="false">VLOOKUP(B29,Departemen!$A:$D,4,FALSE())</f>
        <v>Faculty of Industrial Technology and System Engineering</v>
      </c>
    </row>
    <row r="30" customFormat="false" ht="15" hidden="false" customHeight="false" outlineLevel="0" collapsed="false">
      <c r="A30" s="8" t="s">
        <v>111</v>
      </c>
      <c r="B30" s="8" t="s">
        <v>48</v>
      </c>
      <c r="C30" s="8" t="s">
        <v>112</v>
      </c>
      <c r="D30" s="9" t="str">
        <f aca="false">VLOOKUP(B30,Departemen!$A:$D,4,FALSE())</f>
        <v>Faculty of Creative Design and Digital Business</v>
      </c>
    </row>
    <row r="31" customFormat="false" ht="15" hidden="false" customHeight="false" outlineLevel="0" collapsed="false">
      <c r="A31" s="8" t="s">
        <v>113</v>
      </c>
      <c r="B31" s="8" t="s">
        <v>48</v>
      </c>
      <c r="C31" s="8" t="s">
        <v>114</v>
      </c>
      <c r="D31" s="9" t="str">
        <f aca="false">VLOOKUP(B31,Departemen!$A:$D,4,FALSE())</f>
        <v>Faculty of Creative Design and Digital Business</v>
      </c>
    </row>
    <row r="32" customFormat="false" ht="15" hidden="false" customHeight="false" outlineLevel="0" collapsed="false">
      <c r="A32" s="8" t="s">
        <v>115</v>
      </c>
      <c r="B32" s="8" t="s">
        <v>48</v>
      </c>
      <c r="C32" s="8" t="s">
        <v>116</v>
      </c>
      <c r="D32" s="9" t="str">
        <f aca="false">VLOOKUP(B32,Departemen!$A:$D,4,FALSE())</f>
        <v>Faculty of Creative Design and Digital Business</v>
      </c>
    </row>
    <row r="33" customFormat="false" ht="15" hidden="false" customHeight="false" outlineLevel="0" collapsed="false">
      <c r="A33" s="8" t="s">
        <v>117</v>
      </c>
      <c r="B33" s="8" t="s">
        <v>48</v>
      </c>
      <c r="C33" s="8" t="s">
        <v>118</v>
      </c>
      <c r="D33" s="9" t="str">
        <f aca="false">VLOOKUP(B33,Departemen!$A:$D,4,FALSE())</f>
        <v>Faculty of Creative Design and Digital Business</v>
      </c>
    </row>
    <row r="34" customFormat="false" ht="15" hidden="false" customHeight="false" outlineLevel="0" collapsed="false">
      <c r="A34" s="8" t="s">
        <v>119</v>
      </c>
      <c r="B34" s="8" t="s">
        <v>49</v>
      </c>
      <c r="C34" s="8" t="s">
        <v>120</v>
      </c>
      <c r="D34" s="9" t="str">
        <f aca="false">VLOOKUP(B34,Departemen!$A:$D,4,FALSE())</f>
        <v>Faculty of Medicine and Health</v>
      </c>
    </row>
    <row r="35" customFormat="false" ht="15" hidden="false" customHeight="false" outlineLevel="0" collapsed="false">
      <c r="A35" s="8" t="s">
        <v>121</v>
      </c>
      <c r="B35" s="8" t="s">
        <v>49</v>
      </c>
      <c r="C35" s="8" t="s">
        <v>122</v>
      </c>
      <c r="D35" s="9" t="str">
        <f aca="false">VLOOKUP(B35,Departemen!$A:$D,4,FALSE())</f>
        <v>Faculty of Medicine and Health</v>
      </c>
    </row>
    <row r="36" customFormat="false" ht="15" hidden="false" customHeight="false" outlineLevel="0" collapsed="false">
      <c r="A36" s="8" t="s">
        <v>123</v>
      </c>
      <c r="B36" s="8" t="s">
        <v>49</v>
      </c>
      <c r="C36" s="8" t="s">
        <v>124</v>
      </c>
      <c r="D36" s="9" t="str">
        <f aca="false">VLOOKUP(B36,Departemen!$A:$D,4,FALSE())</f>
        <v>Faculty of Medicine and Health</v>
      </c>
    </row>
    <row r="37" customFormat="false" ht="15" hidden="false" customHeight="false" outlineLevel="0" collapsed="false">
      <c r="A37" s="8" t="s">
        <v>125</v>
      </c>
      <c r="B37" s="8" t="s">
        <v>49</v>
      </c>
      <c r="C37" s="8" t="s">
        <v>126</v>
      </c>
      <c r="D37" s="9" t="str">
        <f aca="false">VLOOKUP(B37,Departemen!$A:$D,4,FALSE())</f>
        <v>Faculty of Medicine and Health</v>
      </c>
    </row>
    <row r="38" customFormat="false" ht="15" hidden="false" customHeight="false" outlineLevel="0" collapsed="false">
      <c r="A38" s="8" t="s">
        <v>127</v>
      </c>
      <c r="B38" s="8" t="s">
        <v>50</v>
      </c>
      <c r="C38" s="8" t="s">
        <v>128</v>
      </c>
      <c r="D38" s="9" t="str">
        <f aca="false">VLOOKUP(B38,Departemen!$A:$D,4,FALSE())</f>
        <v>Faculty of Science and Data Analytics</v>
      </c>
    </row>
    <row r="39" customFormat="false" ht="15" hidden="false" customHeight="false" outlineLevel="0" collapsed="false">
      <c r="A39" s="8" t="s">
        <v>129</v>
      </c>
      <c r="B39" s="8" t="s">
        <v>50</v>
      </c>
      <c r="C39" s="8" t="s">
        <v>130</v>
      </c>
      <c r="D39" s="9" t="str">
        <f aca="false">VLOOKUP(B39,Departemen!$A:$D,4,FALSE())</f>
        <v>Faculty of Science and Data Analytics</v>
      </c>
    </row>
    <row r="40" customFormat="false" ht="15" hidden="false" customHeight="false" outlineLevel="0" collapsed="false">
      <c r="A40" s="8" t="s">
        <v>131</v>
      </c>
      <c r="B40" s="8" t="s">
        <v>50</v>
      </c>
      <c r="C40" s="8" t="s">
        <v>132</v>
      </c>
      <c r="D40" s="9" t="str">
        <f aca="false">VLOOKUP(B40,Departemen!$A:$D,4,FALSE())</f>
        <v>Faculty of Science and Data Analytics</v>
      </c>
    </row>
    <row r="41" customFormat="false" ht="15" hidden="false" customHeight="false" outlineLevel="0" collapsed="false">
      <c r="A41" s="8" t="s">
        <v>133</v>
      </c>
      <c r="B41" s="8" t="s">
        <v>50</v>
      </c>
      <c r="C41" s="8" t="s">
        <v>134</v>
      </c>
      <c r="D41" s="9" t="str">
        <f aca="false">VLOOKUP(B41,Departemen!$A:$D,4,FALSE())</f>
        <v>Faculty of Science and Data Analytics</v>
      </c>
    </row>
    <row r="42" customFormat="false" ht="15" hidden="false" customHeight="false" outlineLevel="0" collapsed="false">
      <c r="A42" s="8" t="s">
        <v>135</v>
      </c>
      <c r="B42" s="8" t="s">
        <v>51</v>
      </c>
      <c r="C42" s="8" t="s">
        <v>136</v>
      </c>
      <c r="D42" s="9" t="str">
        <f aca="false">VLOOKUP(B42,Departemen!$A:$D,4,FALSE())</f>
        <v>Faculty of Vocation</v>
      </c>
    </row>
    <row r="43" customFormat="false" ht="15" hidden="false" customHeight="false" outlineLevel="0" collapsed="false">
      <c r="A43" s="8" t="s">
        <v>137</v>
      </c>
      <c r="B43" s="8" t="s">
        <v>51</v>
      </c>
      <c r="C43" s="8" t="s">
        <v>138</v>
      </c>
      <c r="D43" s="9" t="str">
        <f aca="false">VLOOKUP(B43,Departemen!$A:$D,4,FALSE())</f>
        <v>Faculty of Vocation</v>
      </c>
    </row>
    <row r="44" customFormat="false" ht="15" hidden="false" customHeight="false" outlineLevel="0" collapsed="false">
      <c r="A44" s="8" t="s">
        <v>139</v>
      </c>
      <c r="B44" s="8" t="s">
        <v>51</v>
      </c>
      <c r="C44" s="8" t="s">
        <v>140</v>
      </c>
      <c r="D44" s="9" t="str">
        <f aca="false">VLOOKUP(B44,Departemen!$A:$D,4,FALSE())</f>
        <v>Faculty of Vocation</v>
      </c>
    </row>
    <row r="45" customFormat="false" ht="15" hidden="false" customHeight="false" outlineLevel="0" collapsed="false">
      <c r="A45" s="8" t="s">
        <v>141</v>
      </c>
      <c r="B45" s="8" t="s">
        <v>51</v>
      </c>
      <c r="C45" s="8" t="s">
        <v>142</v>
      </c>
      <c r="D45" s="9" t="str">
        <f aca="false">VLOOKUP(B45,Departemen!$A:$D,4,FALSE())</f>
        <v>Faculty of Vocation</v>
      </c>
    </row>
    <row r="46" customFormat="false" ht="15" hidden="false" customHeight="false" outlineLevel="0" collapsed="false">
      <c r="A46" s="8" t="s">
        <v>143</v>
      </c>
      <c r="B46" s="8" t="s">
        <v>52</v>
      </c>
      <c r="C46" s="8" t="s">
        <v>144</v>
      </c>
      <c r="D46" s="9" t="str">
        <f aca="false">VLOOKUP(B46,Departemen!$A:$D,4,FALSE())</f>
        <v>School of Interdisciplinary Management and Technology</v>
      </c>
    </row>
    <row r="47" customFormat="false" ht="15" hidden="false" customHeight="false" outlineLevel="0" collapsed="false">
      <c r="A47" s="8" t="s">
        <v>145</v>
      </c>
      <c r="B47" s="8" t="s">
        <v>52</v>
      </c>
      <c r="C47" s="8" t="s">
        <v>146</v>
      </c>
      <c r="D47" s="9" t="str">
        <f aca="false">VLOOKUP(B47,Departemen!$A:$D,4,FALSE())</f>
        <v>School of Interdisciplinary Management and Technology</v>
      </c>
    </row>
    <row r="48" customFormat="false" ht="15" hidden="false" customHeight="false" outlineLevel="0" collapsed="false">
      <c r="A48" s="8" t="s">
        <v>147</v>
      </c>
      <c r="B48" s="8" t="s">
        <v>52</v>
      </c>
      <c r="C48" s="8" t="s">
        <v>148</v>
      </c>
      <c r="D48" s="9" t="str">
        <f aca="false">VLOOKUP(B48,Departemen!$A:$D,4,FALSE())</f>
        <v>School of Interdisciplinary Management and Technology</v>
      </c>
    </row>
    <row r="49" customFormat="false" ht="15" hidden="false" customHeight="false" outlineLevel="0" collapsed="false">
      <c r="A49" s="8" t="s">
        <v>149</v>
      </c>
      <c r="B49" s="8" t="s">
        <v>52</v>
      </c>
      <c r="C49" s="8" t="s">
        <v>150</v>
      </c>
      <c r="D49" s="9" t="str">
        <f aca="false">VLOOKUP(B49,Departemen!$A:$D,4,FALSE())</f>
        <v>School of Interdisciplinary Management and Technology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7" t="s">
        <v>12</v>
      </c>
      <c r="B1" s="7" t="s">
        <v>151</v>
      </c>
      <c r="C1" s="7" t="s">
        <v>152</v>
      </c>
      <c r="D1" s="7" t="s">
        <v>153</v>
      </c>
    </row>
    <row r="2" customFormat="false" ht="15" hidden="false" customHeight="false" outlineLevel="0" collapsed="false">
      <c r="A2" s="8" t="s">
        <v>154</v>
      </c>
      <c r="B2" s="8" t="s">
        <v>155</v>
      </c>
      <c r="C2" s="8" t="s">
        <v>156</v>
      </c>
      <c r="D2" s="10"/>
    </row>
    <row r="3" customFormat="false" ht="15" hidden="false" customHeight="false" outlineLevel="0" collapsed="false">
      <c r="A3" s="8" t="s">
        <v>157</v>
      </c>
      <c r="B3" s="8" t="s">
        <v>158</v>
      </c>
      <c r="C3" s="8" t="s">
        <v>159</v>
      </c>
      <c r="D3" s="10"/>
    </row>
    <row r="4" customFormat="false" ht="15" hidden="false" customHeight="false" outlineLevel="0" collapsed="false">
      <c r="A4" s="8" t="s">
        <v>160</v>
      </c>
      <c r="B4" s="8" t="s">
        <v>161</v>
      </c>
      <c r="C4" s="8" t="s">
        <v>162</v>
      </c>
      <c r="D4" s="10"/>
    </row>
    <row r="5" customFormat="false" ht="15" hidden="false" customHeight="false" outlineLevel="0" collapsed="false">
      <c r="A5" s="8" t="s">
        <v>163</v>
      </c>
      <c r="B5" s="8" t="s">
        <v>164</v>
      </c>
      <c r="C5" s="8" t="s">
        <v>165</v>
      </c>
      <c r="D5" s="10"/>
    </row>
    <row r="6" customFormat="false" ht="15" hidden="false" customHeight="false" outlineLevel="0" collapsed="false">
      <c r="A6" s="8" t="s">
        <v>166</v>
      </c>
      <c r="B6" s="8" t="s">
        <v>167</v>
      </c>
      <c r="C6" s="8" t="s">
        <v>168</v>
      </c>
      <c r="D6" s="10"/>
    </row>
    <row r="7" customFormat="false" ht="15" hidden="false" customHeight="false" outlineLevel="0" collapsed="false">
      <c r="A7" s="8" t="s">
        <v>169</v>
      </c>
      <c r="B7" s="8" t="s">
        <v>170</v>
      </c>
      <c r="C7" s="8" t="s">
        <v>159</v>
      </c>
      <c r="D7" s="10"/>
    </row>
    <row r="8" customFormat="false" ht="15" hidden="false" customHeight="false" outlineLevel="0" collapsed="false">
      <c r="A8" s="8" t="s">
        <v>171</v>
      </c>
      <c r="B8" s="8" t="s">
        <v>172</v>
      </c>
      <c r="C8" s="8" t="s">
        <v>173</v>
      </c>
      <c r="D8" s="10"/>
    </row>
    <row r="9" customFormat="false" ht="15" hidden="false" customHeight="false" outlineLevel="0" collapsed="false">
      <c r="A9" s="8" t="s">
        <v>174</v>
      </c>
      <c r="B9" s="8" t="s">
        <v>175</v>
      </c>
      <c r="C9" s="8" t="s">
        <v>159</v>
      </c>
      <c r="D9" s="10"/>
    </row>
    <row r="10" customFormat="false" ht="15" hidden="false" customHeight="false" outlineLevel="0" collapsed="false">
      <c r="A10" s="8" t="s">
        <v>176</v>
      </c>
      <c r="B10" s="8" t="s">
        <v>177</v>
      </c>
      <c r="C10" s="8" t="s">
        <v>178</v>
      </c>
      <c r="D10" s="10"/>
    </row>
    <row r="11" customFormat="false" ht="15" hidden="false" customHeight="false" outlineLevel="0" collapsed="false">
      <c r="A11" s="8" t="s">
        <v>179</v>
      </c>
      <c r="B11" s="8" t="s">
        <v>180</v>
      </c>
      <c r="C11" s="8" t="s">
        <v>162</v>
      </c>
      <c r="D11" s="10"/>
    </row>
    <row r="12" customFormat="false" ht="15" hidden="false" customHeight="false" outlineLevel="0" collapsed="false">
      <c r="A12" s="8" t="s">
        <v>181</v>
      </c>
      <c r="B12" s="8" t="s">
        <v>182</v>
      </c>
      <c r="C12" s="8" t="s">
        <v>183</v>
      </c>
      <c r="D12" s="10"/>
    </row>
    <row r="13" customFormat="false" ht="15" hidden="false" customHeight="false" outlineLevel="0" collapsed="false">
      <c r="A13" s="8" t="s">
        <v>184</v>
      </c>
      <c r="B13" s="8" t="s">
        <v>185</v>
      </c>
      <c r="C13" s="8" t="s">
        <v>168</v>
      </c>
      <c r="D13" s="10"/>
    </row>
    <row r="14" customFormat="false" ht="15" hidden="false" customHeight="false" outlineLevel="0" collapsed="false">
      <c r="A14" s="8" t="s">
        <v>186</v>
      </c>
      <c r="B14" s="8" t="s">
        <v>187</v>
      </c>
      <c r="C14" s="8" t="s">
        <v>188</v>
      </c>
      <c r="D14" s="10"/>
    </row>
    <row r="15" customFormat="false" ht="15" hidden="false" customHeight="false" outlineLevel="0" collapsed="false">
      <c r="A15" s="8" t="s">
        <v>189</v>
      </c>
      <c r="B15" s="8" t="s">
        <v>190</v>
      </c>
      <c r="C15" s="8" t="s">
        <v>165</v>
      </c>
      <c r="D15" s="10"/>
    </row>
    <row r="16" customFormat="false" ht="15" hidden="false" customHeight="false" outlineLevel="0" collapsed="false">
      <c r="A16" s="8" t="s">
        <v>191</v>
      </c>
      <c r="B16" s="8" t="s">
        <v>192</v>
      </c>
      <c r="C16" s="8" t="s">
        <v>193</v>
      </c>
      <c r="D16" s="10"/>
    </row>
    <row r="17" customFormat="false" ht="15" hidden="false" customHeight="false" outlineLevel="0" collapsed="false">
      <c r="A17" s="8" t="s">
        <v>194</v>
      </c>
      <c r="B17" s="8" t="s">
        <v>195</v>
      </c>
      <c r="C17" s="8" t="s">
        <v>156</v>
      </c>
      <c r="D17" s="10"/>
    </row>
    <row r="18" customFormat="false" ht="15" hidden="false" customHeight="false" outlineLevel="0" collapsed="false">
      <c r="A18" s="8" t="s">
        <v>196</v>
      </c>
      <c r="B18" s="8" t="s">
        <v>197</v>
      </c>
      <c r="C18" s="8" t="s">
        <v>198</v>
      </c>
      <c r="D18" s="10"/>
    </row>
    <row r="19" customFormat="false" ht="15" hidden="false" customHeight="false" outlineLevel="0" collapsed="false">
      <c r="A19" s="8" t="s">
        <v>199</v>
      </c>
      <c r="B19" s="8" t="s">
        <v>200</v>
      </c>
      <c r="C19" s="8" t="s">
        <v>201</v>
      </c>
      <c r="D19" s="10"/>
    </row>
    <row r="20" customFormat="false" ht="15" hidden="false" customHeight="false" outlineLevel="0" collapsed="false">
      <c r="A20" s="8" t="s">
        <v>202</v>
      </c>
      <c r="B20" s="8" t="s">
        <v>203</v>
      </c>
      <c r="C20" s="8" t="s">
        <v>183</v>
      </c>
      <c r="D20" s="10"/>
    </row>
    <row r="21" customFormat="false" ht="15" hidden="false" customHeight="false" outlineLevel="0" collapsed="false">
      <c r="A21" s="8" t="s">
        <v>204</v>
      </c>
      <c r="B21" s="8" t="s">
        <v>205</v>
      </c>
      <c r="C21" s="8" t="s">
        <v>206</v>
      </c>
      <c r="D21" s="10"/>
    </row>
    <row r="22" customFormat="false" ht="15" hidden="false" customHeight="false" outlineLevel="0" collapsed="false">
      <c r="A22" s="8" t="s">
        <v>207</v>
      </c>
      <c r="B22" s="8" t="s">
        <v>208</v>
      </c>
      <c r="C22" s="8" t="s">
        <v>209</v>
      </c>
      <c r="D22" s="10"/>
    </row>
    <row r="23" customFormat="false" ht="15" hidden="false" customHeight="false" outlineLevel="0" collapsed="false">
      <c r="A23" s="8" t="s">
        <v>210</v>
      </c>
      <c r="B23" s="8" t="s">
        <v>211</v>
      </c>
      <c r="C23" s="8" t="s">
        <v>159</v>
      </c>
      <c r="D23" s="10"/>
    </row>
    <row r="24" customFormat="false" ht="15" hidden="false" customHeight="false" outlineLevel="0" collapsed="false">
      <c r="A24" s="8" t="s">
        <v>212</v>
      </c>
      <c r="B24" s="8" t="s">
        <v>213</v>
      </c>
      <c r="C24" s="8" t="s">
        <v>214</v>
      </c>
      <c r="D24" s="10"/>
    </row>
    <row r="25" customFormat="false" ht="15" hidden="false" customHeight="false" outlineLevel="0" collapsed="false">
      <c r="A25" s="8" t="s">
        <v>215</v>
      </c>
      <c r="B25" s="8" t="s">
        <v>216</v>
      </c>
      <c r="C25" s="8" t="s">
        <v>201</v>
      </c>
      <c r="D2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23.85" hidden="false" customHeight="false" outlineLevel="0" collapsed="false">
      <c r="A1" s="7" t="s">
        <v>12</v>
      </c>
      <c r="B1" s="7" t="s">
        <v>217</v>
      </c>
      <c r="C1" s="7" t="s">
        <v>218</v>
      </c>
      <c r="D1" s="7" t="s">
        <v>219</v>
      </c>
      <c r="E1" s="7" t="s">
        <v>220</v>
      </c>
      <c r="F1" s="7" t="s">
        <v>221</v>
      </c>
      <c r="G1" s="7" t="s">
        <v>222</v>
      </c>
    </row>
    <row r="2" customFormat="false" ht="15" hidden="false" customHeight="false" outlineLevel="0" collapsed="false">
      <c r="A2" s="8" t="s">
        <v>223</v>
      </c>
      <c r="B2" s="8" t="s">
        <v>154</v>
      </c>
      <c r="C2" s="8" t="n">
        <v>2022</v>
      </c>
      <c r="D2" s="8" t="s">
        <v>224</v>
      </c>
      <c r="E2" s="8" t="n">
        <v>1.87</v>
      </c>
      <c r="F2" s="8" t="s">
        <v>225</v>
      </c>
      <c r="G2" s="8" t="s">
        <v>226</v>
      </c>
    </row>
    <row r="3" customFormat="false" ht="15" hidden="false" customHeight="false" outlineLevel="0" collapsed="false">
      <c r="A3" s="8" t="s">
        <v>227</v>
      </c>
      <c r="B3" s="8" t="s">
        <v>154</v>
      </c>
      <c r="C3" s="8" t="n">
        <v>2023</v>
      </c>
      <c r="D3" s="8" t="s">
        <v>224</v>
      </c>
      <c r="E3" s="8" t="n">
        <v>1.89</v>
      </c>
      <c r="F3" s="8" t="s">
        <v>228</v>
      </c>
      <c r="G3" s="8" t="s">
        <v>226</v>
      </c>
    </row>
    <row r="4" customFormat="false" ht="15" hidden="false" customHeight="false" outlineLevel="0" collapsed="false">
      <c r="A4" s="8" t="s">
        <v>229</v>
      </c>
      <c r="B4" s="8" t="s">
        <v>154</v>
      </c>
      <c r="C4" s="8" t="n">
        <v>2024</v>
      </c>
      <c r="D4" s="8" t="s">
        <v>224</v>
      </c>
      <c r="E4" s="8" t="n">
        <v>1.81</v>
      </c>
      <c r="F4" s="8" t="s">
        <v>230</v>
      </c>
      <c r="G4" s="8" t="s">
        <v>226</v>
      </c>
    </row>
    <row r="5" customFormat="false" ht="15" hidden="false" customHeight="false" outlineLevel="0" collapsed="false">
      <c r="A5" s="8" t="s">
        <v>231</v>
      </c>
      <c r="B5" s="8" t="s">
        <v>154</v>
      </c>
      <c r="C5" s="8" t="n">
        <v>2025</v>
      </c>
      <c r="D5" s="8" t="s">
        <v>224</v>
      </c>
      <c r="E5" s="8" t="n">
        <v>1.79</v>
      </c>
      <c r="F5" s="8" t="s">
        <v>232</v>
      </c>
      <c r="G5" s="8" t="s">
        <v>226</v>
      </c>
    </row>
    <row r="6" customFormat="false" ht="15" hidden="false" customHeight="false" outlineLevel="0" collapsed="false">
      <c r="A6" s="8" t="s">
        <v>233</v>
      </c>
      <c r="B6" s="8" t="s">
        <v>154</v>
      </c>
      <c r="C6" s="8" t="n">
        <v>2026</v>
      </c>
      <c r="D6" s="8" t="s">
        <v>224</v>
      </c>
      <c r="E6" s="8" t="n">
        <v>1.91</v>
      </c>
      <c r="F6" s="8" t="s">
        <v>234</v>
      </c>
      <c r="G6" s="8" t="s">
        <v>226</v>
      </c>
    </row>
    <row r="7" customFormat="false" ht="15" hidden="false" customHeight="false" outlineLevel="0" collapsed="false">
      <c r="A7" s="8" t="s">
        <v>235</v>
      </c>
      <c r="B7" s="8" t="s">
        <v>157</v>
      </c>
      <c r="C7" s="8" t="n">
        <v>2024</v>
      </c>
      <c r="D7" s="8" t="s">
        <v>236</v>
      </c>
      <c r="E7" s="8" t="n">
        <v>1.11</v>
      </c>
      <c r="F7" s="8" t="s">
        <v>237</v>
      </c>
      <c r="G7" s="8" t="s">
        <v>226</v>
      </c>
    </row>
    <row r="8" customFormat="false" ht="15" hidden="false" customHeight="false" outlineLevel="0" collapsed="false">
      <c r="A8" s="8" t="s">
        <v>238</v>
      </c>
      <c r="B8" s="8" t="s">
        <v>157</v>
      </c>
      <c r="C8" s="8" t="n">
        <v>2025</v>
      </c>
      <c r="D8" s="8" t="s">
        <v>236</v>
      </c>
      <c r="E8" s="8" t="n">
        <v>1.02</v>
      </c>
      <c r="F8" s="8" t="s">
        <v>239</v>
      </c>
      <c r="G8" s="8" t="s">
        <v>226</v>
      </c>
    </row>
    <row r="9" customFormat="false" ht="15" hidden="false" customHeight="false" outlineLevel="0" collapsed="false">
      <c r="A9" s="8" t="s">
        <v>240</v>
      </c>
      <c r="B9" s="8" t="s">
        <v>157</v>
      </c>
      <c r="C9" s="8" t="n">
        <v>2026</v>
      </c>
      <c r="D9" s="8" t="s">
        <v>236</v>
      </c>
      <c r="E9" s="8" t="n">
        <v>1.06</v>
      </c>
      <c r="F9" s="8" t="s">
        <v>241</v>
      </c>
      <c r="G9" s="8" t="s">
        <v>226</v>
      </c>
    </row>
    <row r="10" customFormat="false" ht="15" hidden="false" customHeight="false" outlineLevel="0" collapsed="false">
      <c r="A10" s="8" t="s">
        <v>242</v>
      </c>
      <c r="B10" s="8" t="s">
        <v>160</v>
      </c>
      <c r="C10" s="8" t="n">
        <v>2023</v>
      </c>
      <c r="D10" s="8" t="s">
        <v>236</v>
      </c>
      <c r="E10" s="8" t="n">
        <v>1.6</v>
      </c>
      <c r="F10" s="8" t="s">
        <v>243</v>
      </c>
      <c r="G10" s="8" t="s">
        <v>226</v>
      </c>
    </row>
    <row r="11" customFormat="false" ht="15" hidden="false" customHeight="false" outlineLevel="0" collapsed="false">
      <c r="A11" s="8" t="s">
        <v>244</v>
      </c>
      <c r="B11" s="8" t="s">
        <v>160</v>
      </c>
      <c r="C11" s="8" t="n">
        <v>2024</v>
      </c>
      <c r="D11" s="8" t="s">
        <v>236</v>
      </c>
      <c r="E11" s="8" t="n">
        <v>1.63</v>
      </c>
      <c r="F11" s="8" t="s">
        <v>245</v>
      </c>
      <c r="G11" s="8" t="s">
        <v>226</v>
      </c>
    </row>
    <row r="12" customFormat="false" ht="15" hidden="false" customHeight="false" outlineLevel="0" collapsed="false">
      <c r="A12" s="8" t="s">
        <v>246</v>
      </c>
      <c r="B12" s="8" t="s">
        <v>160</v>
      </c>
      <c r="C12" s="8" t="n">
        <v>2025</v>
      </c>
      <c r="D12" s="8" t="s">
        <v>236</v>
      </c>
      <c r="E12" s="8" t="n">
        <v>1.7</v>
      </c>
      <c r="F12" s="8" t="s">
        <v>247</v>
      </c>
      <c r="G12" s="8" t="s">
        <v>226</v>
      </c>
    </row>
    <row r="13" customFormat="false" ht="15" hidden="false" customHeight="false" outlineLevel="0" collapsed="false">
      <c r="A13" s="8" t="s">
        <v>248</v>
      </c>
      <c r="B13" s="8" t="s">
        <v>160</v>
      </c>
      <c r="C13" s="8" t="n">
        <v>2026</v>
      </c>
      <c r="D13" s="8" t="s">
        <v>236</v>
      </c>
      <c r="E13" s="8" t="n">
        <v>1.69</v>
      </c>
      <c r="F13" s="8" t="s">
        <v>249</v>
      </c>
      <c r="G13" s="8" t="s">
        <v>226</v>
      </c>
    </row>
    <row r="14" customFormat="false" ht="15" hidden="false" customHeight="false" outlineLevel="0" collapsed="false">
      <c r="A14" s="8" t="s">
        <v>250</v>
      </c>
      <c r="B14" s="8" t="s">
        <v>163</v>
      </c>
      <c r="C14" s="8" t="n">
        <v>2022</v>
      </c>
      <c r="D14" s="8" t="s">
        <v>251</v>
      </c>
      <c r="E14" s="8" t="n">
        <v>1.41</v>
      </c>
      <c r="F14" s="8" t="s">
        <v>252</v>
      </c>
      <c r="G14" s="8" t="s">
        <v>226</v>
      </c>
    </row>
    <row r="15" customFormat="false" ht="15" hidden="false" customHeight="false" outlineLevel="0" collapsed="false">
      <c r="A15" s="8" t="s">
        <v>253</v>
      </c>
      <c r="B15" s="8" t="s">
        <v>163</v>
      </c>
      <c r="C15" s="8" t="n">
        <v>2023</v>
      </c>
      <c r="D15" s="8" t="s">
        <v>251</v>
      </c>
      <c r="E15" s="8" t="n">
        <v>1.41</v>
      </c>
      <c r="F15" s="8" t="s">
        <v>254</v>
      </c>
      <c r="G15" s="8" t="s">
        <v>226</v>
      </c>
    </row>
    <row r="16" customFormat="false" ht="15" hidden="false" customHeight="false" outlineLevel="0" collapsed="false">
      <c r="A16" s="8" t="s">
        <v>255</v>
      </c>
      <c r="B16" s="8" t="s">
        <v>163</v>
      </c>
      <c r="C16" s="8" t="n">
        <v>2024</v>
      </c>
      <c r="D16" s="8" t="s">
        <v>251</v>
      </c>
      <c r="E16" s="8" t="n">
        <v>1.49</v>
      </c>
      <c r="F16" s="8" t="s">
        <v>256</v>
      </c>
      <c r="G16" s="8" t="s">
        <v>226</v>
      </c>
    </row>
    <row r="17" customFormat="false" ht="15" hidden="false" customHeight="false" outlineLevel="0" collapsed="false">
      <c r="A17" s="8" t="s">
        <v>257</v>
      </c>
      <c r="B17" s="8" t="s">
        <v>166</v>
      </c>
      <c r="C17" s="8" t="n">
        <v>2022</v>
      </c>
      <c r="D17" s="8" t="s">
        <v>224</v>
      </c>
      <c r="E17" s="8" t="n">
        <v>1.23</v>
      </c>
      <c r="F17" s="8" t="s">
        <v>258</v>
      </c>
      <c r="G17" s="8" t="s">
        <v>226</v>
      </c>
    </row>
    <row r="18" customFormat="false" ht="15" hidden="false" customHeight="false" outlineLevel="0" collapsed="false">
      <c r="A18" s="8" t="s">
        <v>259</v>
      </c>
      <c r="B18" s="8" t="s">
        <v>166</v>
      </c>
      <c r="C18" s="8" t="n">
        <v>2023</v>
      </c>
      <c r="D18" s="8" t="s">
        <v>224</v>
      </c>
      <c r="E18" s="8" t="n">
        <v>1.16</v>
      </c>
      <c r="F18" s="8" t="s">
        <v>260</v>
      </c>
      <c r="G18" s="8" t="s">
        <v>226</v>
      </c>
    </row>
    <row r="19" customFormat="false" ht="15" hidden="false" customHeight="false" outlineLevel="0" collapsed="false">
      <c r="A19" s="8" t="s">
        <v>261</v>
      </c>
      <c r="B19" s="8" t="s">
        <v>166</v>
      </c>
      <c r="C19" s="8" t="n">
        <v>2024</v>
      </c>
      <c r="D19" s="8" t="s">
        <v>224</v>
      </c>
      <c r="E19" s="8" t="n">
        <v>1.27</v>
      </c>
      <c r="F19" s="8" t="s">
        <v>262</v>
      </c>
      <c r="G19" s="8" t="s">
        <v>226</v>
      </c>
    </row>
    <row r="20" customFormat="false" ht="15" hidden="false" customHeight="false" outlineLevel="0" collapsed="false">
      <c r="A20" s="8" t="s">
        <v>263</v>
      </c>
      <c r="B20" s="8" t="s">
        <v>169</v>
      </c>
      <c r="C20" s="8" t="n">
        <v>2022</v>
      </c>
      <c r="D20" s="8" t="s">
        <v>264</v>
      </c>
      <c r="E20" s="8" t="n">
        <v>0.89</v>
      </c>
      <c r="F20" s="8" t="s">
        <v>265</v>
      </c>
      <c r="G20" s="8" t="s">
        <v>226</v>
      </c>
    </row>
    <row r="21" customFormat="false" ht="15" hidden="false" customHeight="false" outlineLevel="0" collapsed="false">
      <c r="A21" s="8" t="s">
        <v>266</v>
      </c>
      <c r="B21" s="8" t="s">
        <v>169</v>
      </c>
      <c r="C21" s="8" t="n">
        <v>2023</v>
      </c>
      <c r="D21" s="8" t="s">
        <v>264</v>
      </c>
      <c r="E21" s="8" t="n">
        <v>0.89</v>
      </c>
      <c r="F21" s="8" t="s">
        <v>267</v>
      </c>
      <c r="G21" s="8" t="s">
        <v>226</v>
      </c>
    </row>
    <row r="22" customFormat="false" ht="15" hidden="false" customHeight="false" outlineLevel="0" collapsed="false">
      <c r="A22" s="8" t="s">
        <v>268</v>
      </c>
      <c r="B22" s="8" t="s">
        <v>169</v>
      </c>
      <c r="C22" s="8" t="n">
        <v>2024</v>
      </c>
      <c r="D22" s="8" t="s">
        <v>264</v>
      </c>
      <c r="E22" s="8" t="n">
        <v>0.97</v>
      </c>
      <c r="F22" s="8" t="s">
        <v>269</v>
      </c>
      <c r="G22" s="8" t="s">
        <v>226</v>
      </c>
    </row>
    <row r="23" customFormat="false" ht="15" hidden="false" customHeight="false" outlineLevel="0" collapsed="false">
      <c r="A23" s="8" t="s">
        <v>270</v>
      </c>
      <c r="B23" s="8" t="s">
        <v>171</v>
      </c>
      <c r="C23" s="8" t="n">
        <v>2025</v>
      </c>
      <c r="D23" s="8" t="s">
        <v>236</v>
      </c>
      <c r="E23" s="8" t="n">
        <v>1.66</v>
      </c>
      <c r="F23" s="8" t="s">
        <v>271</v>
      </c>
      <c r="G23" s="8" t="s">
        <v>226</v>
      </c>
    </row>
    <row r="24" customFormat="false" ht="15" hidden="false" customHeight="false" outlineLevel="0" collapsed="false">
      <c r="A24" s="8" t="s">
        <v>272</v>
      </c>
      <c r="B24" s="8" t="s">
        <v>171</v>
      </c>
      <c r="C24" s="8" t="n">
        <v>2026</v>
      </c>
      <c r="D24" s="8" t="s">
        <v>236</v>
      </c>
      <c r="E24" s="8" t="n">
        <v>1.63</v>
      </c>
      <c r="F24" s="8" t="s">
        <v>273</v>
      </c>
      <c r="G24" s="8" t="s">
        <v>226</v>
      </c>
    </row>
    <row r="25" customFormat="false" ht="15" hidden="false" customHeight="false" outlineLevel="0" collapsed="false">
      <c r="A25" s="8" t="s">
        <v>274</v>
      </c>
      <c r="B25" s="8" t="s">
        <v>174</v>
      </c>
      <c r="C25" s="8" t="n">
        <v>2026</v>
      </c>
      <c r="D25" s="8" t="s">
        <v>236</v>
      </c>
      <c r="E25" s="8" t="n">
        <v>1.13</v>
      </c>
      <c r="F25" s="8" t="s">
        <v>275</v>
      </c>
      <c r="G25" s="8" t="s">
        <v>226</v>
      </c>
    </row>
    <row r="26" customFormat="false" ht="15" hidden="false" customHeight="false" outlineLevel="0" collapsed="false">
      <c r="A26" s="8" t="s">
        <v>276</v>
      </c>
      <c r="B26" s="8" t="s">
        <v>176</v>
      </c>
      <c r="C26" s="8" t="n">
        <v>2026</v>
      </c>
      <c r="D26" s="8" t="s">
        <v>236</v>
      </c>
      <c r="E26" s="8" t="n">
        <v>0.7</v>
      </c>
      <c r="F26" s="8" t="s">
        <v>277</v>
      </c>
      <c r="G26" s="8" t="s">
        <v>226</v>
      </c>
    </row>
    <row r="27" customFormat="false" ht="15" hidden="false" customHeight="false" outlineLevel="0" collapsed="false">
      <c r="A27" s="8" t="s">
        <v>278</v>
      </c>
      <c r="B27" s="8" t="s">
        <v>179</v>
      </c>
      <c r="C27" s="8" t="n">
        <v>2025</v>
      </c>
      <c r="D27" s="8" t="s">
        <v>224</v>
      </c>
      <c r="E27" s="8" t="n">
        <v>1.76</v>
      </c>
      <c r="F27" s="8" t="s">
        <v>279</v>
      </c>
      <c r="G27" s="8" t="s">
        <v>226</v>
      </c>
    </row>
    <row r="28" customFormat="false" ht="15" hidden="false" customHeight="false" outlineLevel="0" collapsed="false">
      <c r="A28" s="8" t="s">
        <v>280</v>
      </c>
      <c r="B28" s="8" t="s">
        <v>179</v>
      </c>
      <c r="C28" s="8" t="n">
        <v>2026</v>
      </c>
      <c r="D28" s="8" t="s">
        <v>224</v>
      </c>
      <c r="E28" s="8" t="n">
        <v>1.77</v>
      </c>
      <c r="F28" s="8" t="s">
        <v>281</v>
      </c>
      <c r="G28" s="8" t="s">
        <v>226</v>
      </c>
    </row>
    <row r="29" customFormat="false" ht="15" hidden="false" customHeight="false" outlineLevel="0" collapsed="false">
      <c r="A29" s="8" t="s">
        <v>282</v>
      </c>
      <c r="B29" s="8" t="s">
        <v>184</v>
      </c>
      <c r="C29" s="8" t="n">
        <v>2025</v>
      </c>
      <c r="D29" s="8" t="s">
        <v>251</v>
      </c>
      <c r="E29" s="8" t="n">
        <v>1.31</v>
      </c>
      <c r="F29" s="8" t="s">
        <v>283</v>
      </c>
      <c r="G29" s="8" t="s">
        <v>226</v>
      </c>
    </row>
    <row r="30" customFormat="false" ht="15" hidden="false" customHeight="false" outlineLevel="0" collapsed="false">
      <c r="A30" s="8" t="s">
        <v>284</v>
      </c>
      <c r="B30" s="8" t="s">
        <v>184</v>
      </c>
      <c r="C30" s="8" t="n">
        <v>2026</v>
      </c>
      <c r="D30" s="8" t="s">
        <v>251</v>
      </c>
      <c r="E30" s="8" t="n">
        <v>1.23</v>
      </c>
      <c r="F30" s="8" t="s">
        <v>285</v>
      </c>
      <c r="G30" s="8" t="s">
        <v>226</v>
      </c>
    </row>
    <row r="31" customFormat="false" ht="15" hidden="false" customHeight="false" outlineLevel="0" collapsed="false">
      <c r="A31" s="8" t="s">
        <v>286</v>
      </c>
      <c r="B31" s="8" t="s">
        <v>186</v>
      </c>
      <c r="C31" s="8" t="n">
        <v>2024</v>
      </c>
      <c r="D31" s="8" t="s">
        <v>236</v>
      </c>
      <c r="E31" s="8" t="n">
        <v>0.46</v>
      </c>
      <c r="F31" s="8" t="s">
        <v>287</v>
      </c>
      <c r="G31" s="8" t="s">
        <v>226</v>
      </c>
    </row>
    <row r="32" customFormat="false" ht="15" hidden="false" customHeight="false" outlineLevel="0" collapsed="false">
      <c r="A32" s="8" t="s">
        <v>288</v>
      </c>
      <c r="B32" s="8" t="s">
        <v>186</v>
      </c>
      <c r="C32" s="8" t="n">
        <v>2025</v>
      </c>
      <c r="D32" s="8" t="s">
        <v>236</v>
      </c>
      <c r="E32" s="8" t="n">
        <v>0.58</v>
      </c>
      <c r="F32" s="8" t="s">
        <v>289</v>
      </c>
      <c r="G32" s="8" t="s">
        <v>226</v>
      </c>
    </row>
    <row r="33" customFormat="false" ht="15" hidden="false" customHeight="false" outlineLevel="0" collapsed="false">
      <c r="A33" s="8" t="s">
        <v>290</v>
      </c>
      <c r="B33" s="8" t="s">
        <v>191</v>
      </c>
      <c r="C33" s="8" t="n">
        <v>2025</v>
      </c>
      <c r="D33" s="8" t="s">
        <v>236</v>
      </c>
      <c r="E33" s="8" t="n">
        <v>1.46</v>
      </c>
      <c r="F33" s="8" t="s">
        <v>291</v>
      </c>
      <c r="G33" s="8" t="s">
        <v>226</v>
      </c>
    </row>
    <row r="34" customFormat="false" ht="15" hidden="false" customHeight="false" outlineLevel="0" collapsed="false">
      <c r="A34" s="8" t="s">
        <v>292</v>
      </c>
      <c r="B34" s="8" t="s">
        <v>196</v>
      </c>
      <c r="C34" s="8" t="n">
        <v>2022</v>
      </c>
      <c r="D34" s="8" t="s">
        <v>236</v>
      </c>
      <c r="E34" s="8" t="n">
        <v>1.51</v>
      </c>
      <c r="F34" s="8" t="s">
        <v>293</v>
      </c>
      <c r="G34" s="8" t="s">
        <v>226</v>
      </c>
    </row>
    <row r="35" customFormat="false" ht="15" hidden="false" customHeight="false" outlineLevel="0" collapsed="false">
      <c r="A35" s="8" t="s">
        <v>294</v>
      </c>
      <c r="B35" s="8" t="s">
        <v>199</v>
      </c>
      <c r="C35" s="8" t="n">
        <v>2023</v>
      </c>
      <c r="D35" s="8" t="s">
        <v>264</v>
      </c>
      <c r="E35" s="8" t="n">
        <v>0.65</v>
      </c>
      <c r="F35" s="8" t="s">
        <v>295</v>
      </c>
      <c r="G35" s="8" t="s">
        <v>226</v>
      </c>
    </row>
    <row r="36" customFormat="false" ht="15" hidden="false" customHeight="false" outlineLevel="0" collapsed="false">
      <c r="A36" s="8" t="s">
        <v>296</v>
      </c>
      <c r="B36" s="8" t="s">
        <v>204</v>
      </c>
      <c r="C36" s="8" t="n">
        <v>2022</v>
      </c>
      <c r="D36" s="8" t="s">
        <v>297</v>
      </c>
      <c r="E36" s="8" t="n">
        <v>0.33</v>
      </c>
      <c r="F36" s="8" t="s">
        <v>298</v>
      </c>
      <c r="G36" s="8" t="s">
        <v>226</v>
      </c>
    </row>
    <row r="37" customFormat="false" ht="15" hidden="false" customHeight="false" outlineLevel="0" collapsed="false">
      <c r="A37" s="8" t="s">
        <v>299</v>
      </c>
      <c r="B37" s="8" t="s">
        <v>210</v>
      </c>
      <c r="C37" s="8" t="n">
        <v>2017</v>
      </c>
      <c r="D37" s="8" t="s">
        <v>236</v>
      </c>
      <c r="E37" s="8" t="n">
        <v>0.88</v>
      </c>
      <c r="F37" s="8" t="s">
        <v>300</v>
      </c>
      <c r="G37" s="8" t="s">
        <v>226</v>
      </c>
    </row>
    <row r="38" customFormat="false" ht="15" hidden="false" customHeight="false" outlineLevel="0" collapsed="false">
      <c r="A38" s="8" t="s">
        <v>301</v>
      </c>
      <c r="B38" s="8" t="s">
        <v>210</v>
      </c>
      <c r="C38" s="8" t="n">
        <v>2018</v>
      </c>
      <c r="D38" s="8" t="s">
        <v>236</v>
      </c>
      <c r="E38" s="8" t="n">
        <v>0.92</v>
      </c>
      <c r="F38" s="8" t="s">
        <v>302</v>
      </c>
      <c r="G38" s="8" t="s">
        <v>226</v>
      </c>
    </row>
    <row r="39" customFormat="false" ht="15" hidden="false" customHeight="false" outlineLevel="0" collapsed="false">
      <c r="A39" s="8" t="s">
        <v>303</v>
      </c>
      <c r="B39" s="8" t="s">
        <v>210</v>
      </c>
      <c r="C39" s="8" t="n">
        <v>2019</v>
      </c>
      <c r="D39" s="8" t="s">
        <v>236</v>
      </c>
      <c r="E39" s="8" t="n">
        <v>0.78</v>
      </c>
      <c r="F39" s="8" t="s">
        <v>304</v>
      </c>
      <c r="G39" s="8" t="s">
        <v>226</v>
      </c>
    </row>
    <row r="40" customFormat="false" ht="15" hidden="false" customHeight="false" outlineLevel="0" collapsed="false">
      <c r="A40" s="8" t="s">
        <v>305</v>
      </c>
      <c r="B40" s="8" t="s">
        <v>212</v>
      </c>
      <c r="C40" s="8" t="n">
        <v>2015</v>
      </c>
      <c r="D40" s="8" t="s">
        <v>224</v>
      </c>
      <c r="E40" s="8" t="n">
        <v>0.85</v>
      </c>
      <c r="F40" s="8" t="s">
        <v>306</v>
      </c>
      <c r="G40" s="8" t="s">
        <v>226</v>
      </c>
    </row>
    <row r="41" customFormat="false" ht="15" hidden="false" customHeight="false" outlineLevel="0" collapsed="false">
      <c r="A41" s="8" t="s">
        <v>307</v>
      </c>
      <c r="B41" s="8" t="s">
        <v>212</v>
      </c>
      <c r="C41" s="8" t="n">
        <v>2016</v>
      </c>
      <c r="D41" s="8" t="s">
        <v>224</v>
      </c>
      <c r="E41" s="8" t="n">
        <v>0.86</v>
      </c>
      <c r="F41" s="8" t="s">
        <v>308</v>
      </c>
      <c r="G41" s="8" t="s">
        <v>226</v>
      </c>
    </row>
    <row r="42" customFormat="false" ht="15" hidden="false" customHeight="false" outlineLevel="0" collapsed="false">
      <c r="A42" s="8" t="s">
        <v>309</v>
      </c>
      <c r="B42" s="8" t="s">
        <v>212</v>
      </c>
      <c r="C42" s="8" t="n">
        <v>2017</v>
      </c>
      <c r="D42" s="8" t="s">
        <v>224</v>
      </c>
      <c r="E42" s="8" t="n">
        <v>0.88</v>
      </c>
      <c r="F42" s="8" t="s">
        <v>310</v>
      </c>
      <c r="G42" s="8" t="s">
        <v>226</v>
      </c>
    </row>
    <row r="43" customFormat="false" ht="15" hidden="false" customHeight="false" outlineLevel="0" collapsed="false">
      <c r="A43" s="8" t="s">
        <v>311</v>
      </c>
      <c r="B43" s="8" t="s">
        <v>212</v>
      </c>
      <c r="C43" s="8" t="n">
        <v>2018</v>
      </c>
      <c r="D43" s="8" t="s">
        <v>224</v>
      </c>
      <c r="E43" s="8" t="n">
        <v>0.93</v>
      </c>
      <c r="F43" s="8" t="s">
        <v>312</v>
      </c>
      <c r="G43" s="8" t="s">
        <v>226</v>
      </c>
    </row>
    <row r="44" customFormat="false" ht="15" hidden="false" customHeight="false" outlineLevel="0" collapsed="false">
      <c r="A44" s="8" t="s">
        <v>313</v>
      </c>
      <c r="B44" s="8" t="s">
        <v>215</v>
      </c>
      <c r="C44" s="8" t="n">
        <v>2017</v>
      </c>
      <c r="D44" s="8" t="s">
        <v>264</v>
      </c>
      <c r="E44" s="8" t="n">
        <v>0.73</v>
      </c>
      <c r="F44" s="8" t="s">
        <v>314</v>
      </c>
      <c r="G44" s="8" t="s">
        <v>226</v>
      </c>
    </row>
    <row r="45" customFormat="false" ht="15" hidden="false" customHeight="false" outlineLevel="0" collapsed="false">
      <c r="A45" s="8" t="s">
        <v>315</v>
      </c>
      <c r="B45" s="8" t="s">
        <v>215</v>
      </c>
      <c r="C45" s="8" t="n">
        <v>2018</v>
      </c>
      <c r="D45" s="8" t="s">
        <v>264</v>
      </c>
      <c r="E45" s="8" t="n">
        <v>0.66</v>
      </c>
      <c r="F45" s="8" t="s">
        <v>316</v>
      </c>
      <c r="G45" s="8" t="s">
        <v>226</v>
      </c>
    </row>
    <row r="46" customFormat="false" ht="15" hidden="false" customHeight="false" outlineLevel="0" collapsed="false">
      <c r="A46" s="8" t="s">
        <v>317</v>
      </c>
      <c r="B46" s="8" t="s">
        <v>215</v>
      </c>
      <c r="C46" s="8" t="n">
        <v>2019</v>
      </c>
      <c r="D46" s="8" t="s">
        <v>264</v>
      </c>
      <c r="E46" s="8" t="n">
        <v>0.75</v>
      </c>
      <c r="F46" s="8" t="s">
        <v>318</v>
      </c>
      <c r="G46" s="8" t="s">
        <v>226</v>
      </c>
    </row>
    <row r="47" customFormat="false" ht="15" hidden="false" customHeight="false" outlineLevel="0" collapsed="false">
      <c r="A47" s="8" t="s">
        <v>319</v>
      </c>
      <c r="B47" s="8"/>
      <c r="C47" s="8" t="n">
        <v>2022</v>
      </c>
      <c r="D47" s="8" t="s">
        <v>236</v>
      </c>
      <c r="E47" s="8" t="n">
        <v>1.9</v>
      </c>
      <c r="F47" s="8" t="s">
        <v>320</v>
      </c>
      <c r="G47" s="8" t="s">
        <v>321</v>
      </c>
    </row>
    <row r="48" customFormat="false" ht="15" hidden="false" customHeight="false" outlineLevel="0" collapsed="false">
      <c r="A48" s="8" t="s">
        <v>322</v>
      </c>
      <c r="B48" s="8"/>
      <c r="C48" s="8" t="n">
        <v>2024</v>
      </c>
      <c r="D48" s="8" t="s">
        <v>236</v>
      </c>
      <c r="E48" s="8" t="n">
        <v>1.15</v>
      </c>
      <c r="F48" s="8" t="s">
        <v>323</v>
      </c>
      <c r="G48" s="8" t="s">
        <v>321</v>
      </c>
    </row>
    <row r="49" customFormat="false" ht="15" hidden="false" customHeight="false" outlineLevel="0" collapsed="false">
      <c r="A49" s="8" t="s">
        <v>324</v>
      </c>
      <c r="B49" s="8"/>
      <c r="C49" s="8" t="n">
        <v>2025</v>
      </c>
      <c r="D49" s="8" t="s">
        <v>236</v>
      </c>
      <c r="E49" s="8" t="n">
        <v>0.54</v>
      </c>
      <c r="F49" s="8" t="s">
        <v>325</v>
      </c>
      <c r="G49" s="8" t="s">
        <v>321</v>
      </c>
    </row>
    <row r="50" customFormat="false" ht="15" hidden="false" customHeight="false" outlineLevel="0" collapsed="false">
      <c r="A50" s="8" t="s">
        <v>326</v>
      </c>
      <c r="B50" s="8"/>
      <c r="C50" s="8" t="n">
        <v>2026</v>
      </c>
      <c r="D50" s="8" t="s">
        <v>236</v>
      </c>
      <c r="E50" s="8" t="n">
        <v>1.57</v>
      </c>
      <c r="F50" s="8" t="s">
        <v>327</v>
      </c>
      <c r="G50" s="8" t="s">
        <v>321</v>
      </c>
    </row>
    <row r="51" customFormat="false" ht="15" hidden="false" customHeight="false" outlineLevel="0" collapsed="false">
      <c r="A51" s="8" t="s">
        <v>328</v>
      </c>
      <c r="B51" s="8"/>
      <c r="C51" s="8" t="n">
        <v>2025</v>
      </c>
      <c r="D51" s="8" t="s">
        <v>264</v>
      </c>
      <c r="E51" s="8" t="n">
        <v>0.92</v>
      </c>
      <c r="F51" s="8" t="s">
        <v>325</v>
      </c>
      <c r="G51" s="8" t="s">
        <v>321</v>
      </c>
    </row>
    <row r="52" customFormat="false" ht="15" hidden="false" customHeight="false" outlineLevel="0" collapsed="false">
      <c r="A52" s="8" t="s">
        <v>329</v>
      </c>
      <c r="B52" s="8"/>
      <c r="C52" s="8" t="n">
        <v>2026</v>
      </c>
      <c r="D52" s="8" t="s">
        <v>236</v>
      </c>
      <c r="E52" s="8" t="n">
        <v>1.58</v>
      </c>
      <c r="F52" s="8" t="s">
        <v>330</v>
      </c>
      <c r="G52" s="8" t="s">
        <v>321</v>
      </c>
    </row>
    <row r="53" customFormat="false" ht="15" hidden="false" customHeight="false" outlineLevel="0" collapsed="false">
      <c r="A53" s="8" t="s">
        <v>331</v>
      </c>
      <c r="B53" s="8"/>
      <c r="C53" s="8" t="n">
        <v>2023</v>
      </c>
      <c r="D53" s="8" t="s">
        <v>236</v>
      </c>
      <c r="E53" s="8" t="n">
        <v>1.65</v>
      </c>
      <c r="F53" s="8" t="s">
        <v>332</v>
      </c>
      <c r="G53" s="8" t="s">
        <v>321</v>
      </c>
    </row>
    <row r="54" customFormat="false" ht="15" hidden="false" customHeight="false" outlineLevel="0" collapsed="false">
      <c r="A54" s="8" t="s">
        <v>333</v>
      </c>
      <c r="B54" s="8"/>
      <c r="C54" s="8" t="n">
        <v>2026</v>
      </c>
      <c r="D54" s="8" t="s">
        <v>236</v>
      </c>
      <c r="E54" s="8" t="n">
        <v>0.95</v>
      </c>
      <c r="F54" s="8" t="s">
        <v>334</v>
      </c>
      <c r="G54" s="8" t="s">
        <v>321</v>
      </c>
    </row>
    <row r="55" customFormat="false" ht="15" hidden="false" customHeight="false" outlineLevel="0" collapsed="false">
      <c r="A55" s="8" t="s">
        <v>335</v>
      </c>
      <c r="B55" s="8"/>
      <c r="C55" s="8" t="n">
        <v>2025</v>
      </c>
      <c r="D55" s="8" t="s">
        <v>236</v>
      </c>
      <c r="E55" s="8" t="n">
        <v>1.95</v>
      </c>
      <c r="F55" s="8" t="s">
        <v>336</v>
      </c>
      <c r="G55" s="8" t="s">
        <v>321</v>
      </c>
    </row>
    <row r="56" customFormat="false" ht="15" hidden="false" customHeight="false" outlineLevel="0" collapsed="false">
      <c r="A56" s="8" t="s">
        <v>337</v>
      </c>
      <c r="B56" s="8"/>
      <c r="C56" s="8" t="n">
        <v>2022</v>
      </c>
      <c r="D56" s="8" t="s">
        <v>236</v>
      </c>
      <c r="E56" s="8" t="n">
        <v>1.21</v>
      </c>
      <c r="F56" s="8" t="s">
        <v>338</v>
      </c>
      <c r="G56" s="8" t="s">
        <v>321</v>
      </c>
    </row>
    <row r="57" customFormat="false" ht="15" hidden="false" customHeight="false" outlineLevel="0" collapsed="false">
      <c r="A57" s="8" t="s">
        <v>339</v>
      </c>
      <c r="B57" s="8"/>
      <c r="C57" s="8" t="n">
        <v>2024</v>
      </c>
      <c r="D57" s="8" t="s">
        <v>236</v>
      </c>
      <c r="E57" s="8" t="n">
        <v>1.04</v>
      </c>
      <c r="F57" s="8" t="s">
        <v>340</v>
      </c>
      <c r="G57" s="8" t="s">
        <v>321</v>
      </c>
    </row>
    <row r="58" customFormat="false" ht="15" hidden="false" customHeight="false" outlineLevel="0" collapsed="false">
      <c r="A58" s="8" t="s">
        <v>341</v>
      </c>
      <c r="B58" s="8"/>
      <c r="C58" s="8" t="n">
        <v>2025</v>
      </c>
      <c r="D58" s="8" t="s">
        <v>236</v>
      </c>
      <c r="E58" s="8" t="n">
        <v>1.53</v>
      </c>
      <c r="F58" s="8" t="s">
        <v>342</v>
      </c>
      <c r="G58" s="8" t="s">
        <v>321</v>
      </c>
    </row>
    <row r="59" customFormat="false" ht="15" hidden="false" customHeight="false" outlineLevel="0" collapsed="false">
      <c r="A59" s="8" t="s">
        <v>343</v>
      </c>
      <c r="B59" s="8"/>
      <c r="C59" s="8" t="n">
        <v>2024</v>
      </c>
      <c r="D59" s="8" t="s">
        <v>224</v>
      </c>
      <c r="E59" s="8" t="n">
        <v>1.16</v>
      </c>
      <c r="F59" s="8" t="s">
        <v>344</v>
      </c>
      <c r="G59" s="8" t="s">
        <v>321</v>
      </c>
    </row>
    <row r="60" customFormat="false" ht="15" hidden="false" customHeight="false" outlineLevel="0" collapsed="false">
      <c r="A60" s="8" t="s">
        <v>345</v>
      </c>
      <c r="B60" s="8"/>
      <c r="C60" s="8" t="n">
        <v>2022</v>
      </c>
      <c r="D60" s="8" t="s">
        <v>251</v>
      </c>
      <c r="E60" s="8" t="n">
        <v>1.73</v>
      </c>
      <c r="F60" s="8" t="s">
        <v>346</v>
      </c>
      <c r="G60" s="8" t="s">
        <v>321</v>
      </c>
    </row>
    <row r="61" customFormat="false" ht="15" hidden="false" customHeight="false" outlineLevel="0" collapsed="false">
      <c r="A61" s="8" t="s">
        <v>347</v>
      </c>
      <c r="B61" s="8"/>
      <c r="C61" s="8" t="n">
        <v>2026</v>
      </c>
      <c r="D61" s="8" t="s">
        <v>236</v>
      </c>
      <c r="E61" s="8" t="n">
        <v>0.56</v>
      </c>
      <c r="F61" s="8" t="s">
        <v>348</v>
      </c>
      <c r="G61" s="8" t="s">
        <v>321</v>
      </c>
    </row>
    <row r="62" customFormat="false" ht="15" hidden="false" customHeight="false" outlineLevel="0" collapsed="false">
      <c r="A62" s="8" t="s">
        <v>349</v>
      </c>
      <c r="B62" s="8"/>
      <c r="C62" s="8" t="n">
        <v>2026</v>
      </c>
      <c r="D62" s="8" t="s">
        <v>297</v>
      </c>
      <c r="E62" s="8" t="n">
        <v>1.86</v>
      </c>
      <c r="F62" s="8" t="s">
        <v>350</v>
      </c>
      <c r="G62" s="8" t="s">
        <v>321</v>
      </c>
    </row>
    <row r="63" customFormat="false" ht="15" hidden="false" customHeight="false" outlineLevel="0" collapsed="false">
      <c r="A63" s="8" t="s">
        <v>351</v>
      </c>
      <c r="B63" s="8"/>
      <c r="C63" s="8" t="n">
        <v>2024</v>
      </c>
      <c r="D63" s="8" t="s">
        <v>236</v>
      </c>
      <c r="E63" s="8" t="n">
        <v>0.49</v>
      </c>
      <c r="F63" s="8" t="s">
        <v>352</v>
      </c>
      <c r="G63" s="8" t="s">
        <v>321</v>
      </c>
    </row>
    <row r="64" customFormat="false" ht="15" hidden="false" customHeight="false" outlineLevel="0" collapsed="false">
      <c r="A64" s="8" t="s">
        <v>353</v>
      </c>
      <c r="B64" s="8"/>
      <c r="C64" s="8" t="n">
        <v>2024</v>
      </c>
      <c r="D64" s="8" t="s">
        <v>251</v>
      </c>
      <c r="E64" s="8" t="n">
        <v>0.71</v>
      </c>
      <c r="F64" s="8" t="s">
        <v>352</v>
      </c>
      <c r="G64" s="8" t="s">
        <v>321</v>
      </c>
    </row>
    <row r="65" customFormat="false" ht="15" hidden="false" customHeight="false" outlineLevel="0" collapsed="false">
      <c r="A65" s="8" t="s">
        <v>354</v>
      </c>
      <c r="B65" s="8"/>
      <c r="C65" s="8" t="n">
        <v>2023</v>
      </c>
      <c r="D65" s="8" t="s">
        <v>236</v>
      </c>
      <c r="E65" s="8" t="n">
        <v>0.45</v>
      </c>
      <c r="F65" s="8" t="s">
        <v>355</v>
      </c>
      <c r="G65" s="8" t="s">
        <v>321</v>
      </c>
    </row>
    <row r="66" customFormat="false" ht="15" hidden="false" customHeight="false" outlineLevel="0" collapsed="false">
      <c r="A66" s="8" t="s">
        <v>356</v>
      </c>
      <c r="B66" s="8"/>
      <c r="C66" s="8" t="n">
        <v>2022</v>
      </c>
      <c r="D66" s="8" t="s">
        <v>297</v>
      </c>
      <c r="E66" s="8" t="n">
        <v>1.6</v>
      </c>
      <c r="F66" s="8" t="s">
        <v>357</v>
      </c>
      <c r="G66" s="8" t="s">
        <v>321</v>
      </c>
    </row>
    <row r="67" customFormat="false" ht="15" hidden="false" customHeight="false" outlineLevel="0" collapsed="false">
      <c r="A67" s="8" t="s">
        <v>358</v>
      </c>
      <c r="B67" s="8"/>
      <c r="C67" s="8" t="n">
        <v>2023</v>
      </c>
      <c r="D67" s="8" t="s">
        <v>236</v>
      </c>
      <c r="E67" s="8" t="n">
        <v>1.91</v>
      </c>
      <c r="F67" s="8" t="s">
        <v>359</v>
      </c>
      <c r="G67" s="8" t="s">
        <v>321</v>
      </c>
    </row>
    <row r="68" customFormat="false" ht="15" hidden="false" customHeight="false" outlineLevel="0" collapsed="false">
      <c r="A68" s="8" t="s">
        <v>360</v>
      </c>
      <c r="B68" s="8"/>
      <c r="C68" s="8" t="n">
        <v>2024</v>
      </c>
      <c r="D68" s="8" t="s">
        <v>236</v>
      </c>
      <c r="E68" s="8" t="n">
        <v>1.33</v>
      </c>
      <c r="F68" s="8" t="s">
        <v>361</v>
      </c>
      <c r="G68" s="8" t="s">
        <v>321</v>
      </c>
    </row>
    <row r="69" customFormat="false" ht="15" hidden="false" customHeight="false" outlineLevel="0" collapsed="false">
      <c r="A69" s="8" t="s">
        <v>362</v>
      </c>
      <c r="B69" s="8"/>
      <c r="C69" s="8" t="n">
        <v>2026</v>
      </c>
      <c r="D69" s="8" t="s">
        <v>224</v>
      </c>
      <c r="E69" s="8" t="n">
        <v>1.51</v>
      </c>
      <c r="F69" s="8" t="s">
        <v>363</v>
      </c>
      <c r="G69" s="8" t="s">
        <v>321</v>
      </c>
    </row>
    <row r="70" customFormat="false" ht="15" hidden="false" customHeight="false" outlineLevel="0" collapsed="false">
      <c r="A70" s="8" t="s">
        <v>364</v>
      </c>
      <c r="B70" s="8"/>
      <c r="C70" s="8" t="n">
        <v>2024</v>
      </c>
      <c r="D70" s="8" t="s">
        <v>236</v>
      </c>
      <c r="E70" s="8" t="n">
        <v>1.18</v>
      </c>
      <c r="F70" s="8" t="s">
        <v>365</v>
      </c>
      <c r="G70" s="8" t="s">
        <v>321</v>
      </c>
    </row>
    <row r="71" customFormat="false" ht="15" hidden="false" customHeight="false" outlineLevel="0" collapsed="false">
      <c r="A71" s="8" t="s">
        <v>366</v>
      </c>
      <c r="B71" s="8"/>
      <c r="C71" s="8" t="n">
        <v>2022</v>
      </c>
      <c r="D71" s="8" t="s">
        <v>236</v>
      </c>
      <c r="E71" s="8" t="n">
        <v>0.41</v>
      </c>
      <c r="F71" s="8" t="s">
        <v>367</v>
      </c>
      <c r="G71" s="8" t="s">
        <v>321</v>
      </c>
    </row>
    <row r="72" customFormat="false" ht="15" hidden="false" customHeight="false" outlineLevel="0" collapsed="false">
      <c r="A72" s="8" t="s">
        <v>368</v>
      </c>
      <c r="B72" s="8"/>
      <c r="C72" s="8" t="n">
        <v>2026</v>
      </c>
      <c r="D72" s="8" t="s">
        <v>236</v>
      </c>
      <c r="E72" s="8" t="n">
        <v>1.3</v>
      </c>
      <c r="F72" s="8" t="s">
        <v>369</v>
      </c>
      <c r="G72" s="8" t="s">
        <v>321</v>
      </c>
    </row>
    <row r="73" customFormat="false" ht="15" hidden="false" customHeight="false" outlineLevel="0" collapsed="false">
      <c r="A73" s="8" t="s">
        <v>370</v>
      </c>
      <c r="B73" s="8"/>
      <c r="C73" s="8" t="n">
        <v>2022</v>
      </c>
      <c r="D73" s="8" t="s">
        <v>236</v>
      </c>
      <c r="E73" s="8" t="n">
        <v>0.4</v>
      </c>
      <c r="F73" s="8" t="s">
        <v>371</v>
      </c>
      <c r="G73" s="8" t="s">
        <v>321</v>
      </c>
    </row>
    <row r="74" customFormat="false" ht="15" hidden="false" customHeight="false" outlineLevel="0" collapsed="false">
      <c r="A74" s="8" t="s">
        <v>372</v>
      </c>
      <c r="B74" s="8"/>
      <c r="C74" s="8" t="n">
        <v>2022</v>
      </c>
      <c r="D74" s="8" t="s">
        <v>236</v>
      </c>
      <c r="E74" s="8" t="n">
        <v>1.17</v>
      </c>
      <c r="F74" s="8" t="s">
        <v>373</v>
      </c>
      <c r="G74" s="8" t="s">
        <v>321</v>
      </c>
    </row>
    <row r="75" customFormat="false" ht="15" hidden="false" customHeight="false" outlineLevel="0" collapsed="false">
      <c r="A75" s="8" t="s">
        <v>374</v>
      </c>
      <c r="B75" s="8"/>
      <c r="C75" s="8" t="n">
        <v>2025</v>
      </c>
      <c r="D75" s="8" t="s">
        <v>236</v>
      </c>
      <c r="E75" s="8" t="n">
        <v>0.52</v>
      </c>
      <c r="F75" s="8" t="s">
        <v>375</v>
      </c>
      <c r="G75" s="8" t="s">
        <v>321</v>
      </c>
    </row>
    <row r="76" customFormat="false" ht="15" hidden="false" customHeight="false" outlineLevel="0" collapsed="false">
      <c r="A76" s="8" t="s">
        <v>376</v>
      </c>
      <c r="B76" s="8"/>
      <c r="C76" s="8" t="n">
        <v>2026</v>
      </c>
      <c r="D76" s="8" t="s">
        <v>236</v>
      </c>
      <c r="E76" s="8" t="n">
        <v>0.71</v>
      </c>
      <c r="F76" s="8" t="s">
        <v>377</v>
      </c>
      <c r="G76" s="8" t="s">
        <v>321</v>
      </c>
    </row>
    <row r="77" customFormat="false" ht="15" hidden="false" customHeight="false" outlineLevel="0" collapsed="false">
      <c r="A77" s="8" t="s">
        <v>378</v>
      </c>
      <c r="B77" s="8"/>
      <c r="C77" s="8" t="n">
        <v>2025</v>
      </c>
      <c r="D77" s="8" t="s">
        <v>236</v>
      </c>
      <c r="E77" s="8" t="n">
        <v>0.46</v>
      </c>
      <c r="F77" s="8" t="s">
        <v>379</v>
      </c>
      <c r="G77" s="8" t="s">
        <v>321</v>
      </c>
    </row>
    <row r="78" customFormat="false" ht="15" hidden="false" customHeight="false" outlineLevel="0" collapsed="false">
      <c r="A78" s="8" t="s">
        <v>380</v>
      </c>
      <c r="B78" s="8"/>
      <c r="C78" s="8" t="n">
        <v>2025</v>
      </c>
      <c r="D78" s="8" t="s">
        <v>236</v>
      </c>
      <c r="E78" s="8" t="n">
        <v>1</v>
      </c>
      <c r="F78" s="8" t="s">
        <v>379</v>
      </c>
      <c r="G78" s="8" t="s">
        <v>321</v>
      </c>
    </row>
    <row r="79" customFormat="false" ht="15" hidden="false" customHeight="false" outlineLevel="0" collapsed="false">
      <c r="A79" s="8" t="s">
        <v>381</v>
      </c>
      <c r="B79" s="8"/>
      <c r="C79" s="8" t="n">
        <v>2022</v>
      </c>
      <c r="D79" s="8" t="s">
        <v>236</v>
      </c>
      <c r="E79" s="8" t="n">
        <v>1.97</v>
      </c>
      <c r="F79" s="8" t="s">
        <v>382</v>
      </c>
      <c r="G79" s="8" t="s">
        <v>321</v>
      </c>
    </row>
    <row r="80" customFormat="false" ht="15" hidden="false" customHeight="false" outlineLevel="0" collapsed="false">
      <c r="A80" s="8" t="s">
        <v>383</v>
      </c>
      <c r="B80" s="8"/>
      <c r="C80" s="8" t="n">
        <v>2022</v>
      </c>
      <c r="D80" s="8" t="s">
        <v>236</v>
      </c>
      <c r="E80" s="8" t="n">
        <v>1.54</v>
      </c>
      <c r="F80" s="8" t="s">
        <v>382</v>
      </c>
      <c r="G80" s="8" t="s">
        <v>321</v>
      </c>
    </row>
    <row r="81" customFormat="false" ht="15" hidden="false" customHeight="false" outlineLevel="0" collapsed="false">
      <c r="A81" s="8" t="s">
        <v>384</v>
      </c>
      <c r="B81" s="8"/>
      <c r="C81" s="8" t="n">
        <v>2022</v>
      </c>
      <c r="D81" s="8" t="s">
        <v>236</v>
      </c>
      <c r="E81" s="8" t="n">
        <v>0.62</v>
      </c>
      <c r="F81" s="8" t="s">
        <v>382</v>
      </c>
      <c r="G81" s="8" t="s">
        <v>321</v>
      </c>
    </row>
    <row r="82" customFormat="false" ht="15" hidden="false" customHeight="false" outlineLevel="0" collapsed="false">
      <c r="A82" s="8" t="s">
        <v>385</v>
      </c>
      <c r="B82" s="8"/>
      <c r="C82" s="8" t="n">
        <v>2023</v>
      </c>
      <c r="D82" s="8" t="s">
        <v>236</v>
      </c>
      <c r="E82" s="8" t="n">
        <v>0.77</v>
      </c>
      <c r="F82" s="8" t="s">
        <v>386</v>
      </c>
      <c r="G82" s="8" t="s">
        <v>321</v>
      </c>
    </row>
    <row r="83" customFormat="false" ht="15" hidden="false" customHeight="false" outlineLevel="0" collapsed="false">
      <c r="A83" s="8" t="s">
        <v>387</v>
      </c>
      <c r="B83" s="8"/>
      <c r="C83" s="8" t="n">
        <v>2023</v>
      </c>
      <c r="D83" s="8" t="s">
        <v>236</v>
      </c>
      <c r="E83" s="8" t="n">
        <v>1.05</v>
      </c>
      <c r="F83" s="8" t="s">
        <v>386</v>
      </c>
      <c r="G83" s="8" t="s">
        <v>321</v>
      </c>
    </row>
    <row r="84" customFormat="false" ht="15" hidden="false" customHeight="false" outlineLevel="0" collapsed="false">
      <c r="A84" s="8" t="s">
        <v>388</v>
      </c>
      <c r="B84" s="8"/>
      <c r="C84" s="8" t="n">
        <v>2022</v>
      </c>
      <c r="D84" s="8" t="s">
        <v>236</v>
      </c>
      <c r="E84" s="8" t="n">
        <v>2</v>
      </c>
      <c r="F84" s="8" t="s">
        <v>389</v>
      </c>
      <c r="G84" s="8" t="s">
        <v>321</v>
      </c>
    </row>
    <row r="85" customFormat="false" ht="15" hidden="false" customHeight="false" outlineLevel="0" collapsed="false">
      <c r="A85" s="8" t="s">
        <v>390</v>
      </c>
      <c r="B85" s="8"/>
      <c r="C85" s="8" t="n">
        <v>2022</v>
      </c>
      <c r="D85" s="8" t="s">
        <v>224</v>
      </c>
      <c r="E85" s="8" t="n">
        <v>0.58</v>
      </c>
      <c r="F85" s="8" t="s">
        <v>389</v>
      </c>
      <c r="G85" s="8" t="s">
        <v>321</v>
      </c>
    </row>
    <row r="86" customFormat="false" ht="15" hidden="false" customHeight="false" outlineLevel="0" collapsed="false">
      <c r="A86" s="8" t="s">
        <v>391</v>
      </c>
      <c r="B86" s="8"/>
      <c r="C86" s="8" t="n">
        <v>2025</v>
      </c>
      <c r="D86" s="8" t="s">
        <v>236</v>
      </c>
      <c r="E86" s="8" t="n">
        <v>1.77</v>
      </c>
      <c r="F86" s="8" t="s">
        <v>392</v>
      </c>
      <c r="G86" s="8" t="s">
        <v>321</v>
      </c>
    </row>
    <row r="87" customFormat="false" ht="15" hidden="false" customHeight="false" outlineLevel="0" collapsed="false">
      <c r="A87" s="8" t="s">
        <v>393</v>
      </c>
      <c r="B87" s="8"/>
      <c r="C87" s="8" t="n">
        <v>2023</v>
      </c>
      <c r="D87" s="8" t="s">
        <v>236</v>
      </c>
      <c r="E87" s="8" t="n">
        <v>1.98</v>
      </c>
      <c r="F87" s="8" t="s">
        <v>394</v>
      </c>
      <c r="G87" s="8" t="s">
        <v>321</v>
      </c>
    </row>
    <row r="88" customFormat="false" ht="15" hidden="false" customHeight="false" outlineLevel="0" collapsed="false">
      <c r="A88" s="8" t="s">
        <v>395</v>
      </c>
      <c r="B88" s="8"/>
      <c r="C88" s="8" t="n">
        <v>2025</v>
      </c>
      <c r="D88" s="8" t="s">
        <v>236</v>
      </c>
      <c r="E88" s="8" t="n">
        <v>1.48</v>
      </c>
      <c r="F88" s="8" t="s">
        <v>396</v>
      </c>
      <c r="G88" s="8" t="s">
        <v>321</v>
      </c>
    </row>
    <row r="89" customFormat="false" ht="15" hidden="false" customHeight="false" outlineLevel="0" collapsed="false">
      <c r="A89" s="8" t="s">
        <v>397</v>
      </c>
      <c r="B89" s="8"/>
      <c r="C89" s="8" t="n">
        <v>2026</v>
      </c>
      <c r="D89" s="8" t="s">
        <v>236</v>
      </c>
      <c r="E89" s="8" t="n">
        <v>1.13</v>
      </c>
      <c r="F89" s="8" t="s">
        <v>398</v>
      </c>
      <c r="G89" s="8" t="s">
        <v>321</v>
      </c>
    </row>
    <row r="90" customFormat="false" ht="15" hidden="false" customHeight="false" outlineLevel="0" collapsed="false">
      <c r="A90" s="8" t="s">
        <v>399</v>
      </c>
      <c r="B90" s="8"/>
      <c r="C90" s="8" t="n">
        <v>2024</v>
      </c>
      <c r="D90" s="8" t="s">
        <v>236</v>
      </c>
      <c r="E90" s="8" t="n">
        <v>0.4</v>
      </c>
      <c r="F90" s="8" t="s">
        <v>400</v>
      </c>
      <c r="G90" s="8" t="s">
        <v>321</v>
      </c>
    </row>
    <row r="91" customFormat="false" ht="15" hidden="false" customHeight="false" outlineLevel="0" collapsed="false">
      <c r="A91" s="8" t="s">
        <v>401</v>
      </c>
      <c r="B91" s="8"/>
      <c r="C91" s="8" t="n">
        <v>2026</v>
      </c>
      <c r="D91" s="8" t="s">
        <v>236</v>
      </c>
      <c r="E91" s="8" t="n">
        <v>0.83</v>
      </c>
      <c r="F91" s="8" t="s">
        <v>402</v>
      </c>
      <c r="G91" s="8" t="s">
        <v>321</v>
      </c>
    </row>
    <row r="92" customFormat="false" ht="15" hidden="false" customHeight="false" outlineLevel="0" collapsed="false">
      <c r="A92" s="8" t="s">
        <v>403</v>
      </c>
      <c r="B92" s="8"/>
      <c r="C92" s="8" t="n">
        <v>2022</v>
      </c>
      <c r="D92" s="8" t="s">
        <v>236</v>
      </c>
      <c r="E92" s="8" t="n">
        <v>1.15</v>
      </c>
      <c r="F92" s="8" t="s">
        <v>404</v>
      </c>
      <c r="G92" s="8" t="s">
        <v>321</v>
      </c>
    </row>
    <row r="93" customFormat="false" ht="15" hidden="false" customHeight="false" outlineLevel="0" collapsed="false">
      <c r="A93" s="8" t="s">
        <v>405</v>
      </c>
      <c r="B93" s="8"/>
      <c r="C93" s="8" t="n">
        <v>2026</v>
      </c>
      <c r="D93" s="8" t="s">
        <v>236</v>
      </c>
      <c r="E93" s="8" t="n">
        <v>1.93</v>
      </c>
      <c r="F93" s="8" t="s">
        <v>402</v>
      </c>
      <c r="G93" s="8" t="s">
        <v>321</v>
      </c>
    </row>
    <row r="94" customFormat="false" ht="15" hidden="false" customHeight="false" outlineLevel="0" collapsed="false">
      <c r="A94" s="8" t="s">
        <v>406</v>
      </c>
      <c r="B94" s="8"/>
      <c r="C94" s="8" t="n">
        <v>2023</v>
      </c>
      <c r="D94" s="8" t="s">
        <v>236</v>
      </c>
      <c r="E94" s="8" t="n">
        <v>0.42</v>
      </c>
      <c r="F94" s="8" t="s">
        <v>407</v>
      </c>
      <c r="G94" s="8" t="s">
        <v>321</v>
      </c>
    </row>
    <row r="95" customFormat="false" ht="15" hidden="false" customHeight="false" outlineLevel="0" collapsed="false">
      <c r="A95" s="8" t="s">
        <v>408</v>
      </c>
      <c r="B95" s="8"/>
      <c r="C95" s="8" t="n">
        <v>2025</v>
      </c>
      <c r="D95" s="8" t="s">
        <v>236</v>
      </c>
      <c r="E95" s="8" t="n">
        <v>1.81</v>
      </c>
      <c r="F95" s="8" t="s">
        <v>409</v>
      </c>
      <c r="G95" s="8" t="s">
        <v>321</v>
      </c>
    </row>
    <row r="96" customFormat="false" ht="15" hidden="false" customHeight="false" outlineLevel="0" collapsed="false">
      <c r="A96" s="8" t="s">
        <v>410</v>
      </c>
      <c r="B96" s="8"/>
      <c r="C96" s="8" t="n">
        <v>2026</v>
      </c>
      <c r="D96" s="8" t="s">
        <v>297</v>
      </c>
      <c r="E96" s="8" t="n">
        <v>1.35</v>
      </c>
      <c r="F96" s="8" t="s">
        <v>411</v>
      </c>
      <c r="G96" s="8" t="s">
        <v>321</v>
      </c>
    </row>
    <row r="97" customFormat="false" ht="15" hidden="false" customHeight="false" outlineLevel="0" collapsed="false">
      <c r="A97" s="8" t="s">
        <v>412</v>
      </c>
      <c r="B97" s="8"/>
      <c r="C97" s="8" t="n">
        <v>2026</v>
      </c>
      <c r="D97" s="8" t="s">
        <v>297</v>
      </c>
      <c r="E97" s="8" t="n">
        <v>0.84</v>
      </c>
      <c r="F97" s="8" t="s">
        <v>413</v>
      </c>
      <c r="G97" s="8" t="s">
        <v>321</v>
      </c>
    </row>
    <row r="98" customFormat="false" ht="15" hidden="false" customHeight="false" outlineLevel="0" collapsed="false">
      <c r="A98" s="8" t="s">
        <v>414</v>
      </c>
      <c r="B98" s="8"/>
      <c r="C98" s="8" t="n">
        <v>2024</v>
      </c>
      <c r="D98" s="8" t="s">
        <v>297</v>
      </c>
      <c r="E98" s="8" t="n">
        <v>1.52</v>
      </c>
      <c r="F98" s="8" t="s">
        <v>415</v>
      </c>
      <c r="G98" s="8" t="s">
        <v>321</v>
      </c>
    </row>
    <row r="99" customFormat="false" ht="15" hidden="false" customHeight="false" outlineLevel="0" collapsed="false">
      <c r="A99" s="8" t="s">
        <v>416</v>
      </c>
      <c r="B99" s="8"/>
      <c r="C99" s="8" t="n">
        <v>2024</v>
      </c>
      <c r="D99" s="8" t="s">
        <v>297</v>
      </c>
      <c r="E99" s="8" t="n">
        <v>1.44</v>
      </c>
      <c r="F99" s="8" t="s">
        <v>417</v>
      </c>
      <c r="G99" s="8" t="s">
        <v>321</v>
      </c>
    </row>
    <row r="100" customFormat="false" ht="15" hidden="false" customHeight="false" outlineLevel="0" collapsed="false">
      <c r="A100" s="8" t="s">
        <v>418</v>
      </c>
      <c r="B100" s="8"/>
      <c r="C100" s="8" t="n">
        <v>2025</v>
      </c>
      <c r="D100" s="8" t="s">
        <v>297</v>
      </c>
      <c r="E100" s="8" t="n">
        <v>1.58</v>
      </c>
      <c r="F100" s="8" t="s">
        <v>419</v>
      </c>
      <c r="G100" s="8" t="s">
        <v>321</v>
      </c>
    </row>
    <row r="101" customFormat="false" ht="15" hidden="false" customHeight="false" outlineLevel="0" collapsed="false">
      <c r="A101" s="8" t="s">
        <v>420</v>
      </c>
      <c r="B101" s="8"/>
      <c r="C101" s="8" t="n">
        <v>2022</v>
      </c>
      <c r="D101" s="8" t="s">
        <v>297</v>
      </c>
      <c r="E101" s="8" t="n">
        <v>1.36</v>
      </c>
      <c r="F101" s="8" t="s">
        <v>421</v>
      </c>
      <c r="G101" s="8" t="s">
        <v>321</v>
      </c>
    </row>
    <row r="102" customFormat="false" ht="15" hidden="false" customHeight="false" outlineLevel="0" collapsed="false">
      <c r="A102" s="8" t="s">
        <v>422</v>
      </c>
      <c r="B102" s="8"/>
      <c r="C102" s="8" t="n">
        <v>2022</v>
      </c>
      <c r="D102" s="8" t="s">
        <v>251</v>
      </c>
      <c r="E102" s="8" t="n">
        <v>0.66</v>
      </c>
      <c r="F102" s="8" t="s">
        <v>423</v>
      </c>
      <c r="G102" s="8" t="s">
        <v>321</v>
      </c>
    </row>
    <row r="103" customFormat="false" ht="15" hidden="false" customHeight="false" outlineLevel="0" collapsed="false">
      <c r="A103" s="8" t="s">
        <v>424</v>
      </c>
      <c r="B103" s="8"/>
      <c r="C103" s="8" t="n">
        <v>2024</v>
      </c>
      <c r="D103" s="8" t="s">
        <v>251</v>
      </c>
      <c r="E103" s="8" t="n">
        <v>0.89</v>
      </c>
      <c r="F103" s="8" t="s">
        <v>425</v>
      </c>
      <c r="G103" s="8" t="s">
        <v>321</v>
      </c>
    </row>
    <row r="104" customFormat="false" ht="15" hidden="false" customHeight="false" outlineLevel="0" collapsed="false">
      <c r="A104" s="8" t="s">
        <v>426</v>
      </c>
      <c r="B104" s="8"/>
      <c r="C104" s="8" t="n">
        <v>2022</v>
      </c>
      <c r="D104" s="8" t="s">
        <v>251</v>
      </c>
      <c r="E104" s="8" t="n">
        <v>0.78</v>
      </c>
      <c r="F104" s="8" t="s">
        <v>423</v>
      </c>
      <c r="G104" s="8" t="s">
        <v>321</v>
      </c>
    </row>
    <row r="105" customFormat="false" ht="15" hidden="false" customHeight="false" outlineLevel="0" collapsed="false">
      <c r="A105" s="8" t="s">
        <v>427</v>
      </c>
      <c r="B105" s="8"/>
      <c r="C105" s="8" t="n">
        <v>2026</v>
      </c>
      <c r="D105" s="8" t="s">
        <v>251</v>
      </c>
      <c r="E105" s="8" t="n">
        <v>1.34</v>
      </c>
      <c r="F105" s="8" t="s">
        <v>428</v>
      </c>
      <c r="G105" s="8" t="s">
        <v>321</v>
      </c>
    </row>
    <row r="106" customFormat="false" ht="15" hidden="false" customHeight="false" outlineLevel="0" collapsed="false">
      <c r="A106" s="8" t="s">
        <v>429</v>
      </c>
      <c r="B106" s="8"/>
      <c r="C106" s="8" t="n">
        <v>2026</v>
      </c>
      <c r="D106" s="8" t="s">
        <v>251</v>
      </c>
      <c r="E106" s="8" t="n">
        <v>1.69</v>
      </c>
      <c r="F106" s="8" t="s">
        <v>428</v>
      </c>
      <c r="G106" s="8" t="s">
        <v>321</v>
      </c>
    </row>
    <row r="107" customFormat="false" ht="15" hidden="false" customHeight="false" outlineLevel="0" collapsed="false">
      <c r="A107" s="8" t="s">
        <v>430</v>
      </c>
      <c r="B107" s="8"/>
      <c r="C107" s="8" t="n">
        <v>2022</v>
      </c>
      <c r="D107" s="8" t="s">
        <v>224</v>
      </c>
      <c r="E107" s="8" t="n">
        <v>0.75</v>
      </c>
      <c r="F107" s="8" t="s">
        <v>431</v>
      </c>
      <c r="G107" s="8" t="s">
        <v>321</v>
      </c>
    </row>
    <row r="108" customFormat="false" ht="15" hidden="false" customHeight="false" outlineLevel="0" collapsed="false">
      <c r="A108" s="8" t="s">
        <v>432</v>
      </c>
      <c r="B108" s="8"/>
      <c r="C108" s="8" t="n">
        <v>2022</v>
      </c>
      <c r="D108" s="8" t="s">
        <v>251</v>
      </c>
      <c r="E108" s="8" t="n">
        <v>0.56</v>
      </c>
      <c r="F108" s="8" t="s">
        <v>431</v>
      </c>
      <c r="G108" s="8" t="s">
        <v>321</v>
      </c>
    </row>
    <row r="109" customFormat="false" ht="15" hidden="false" customHeight="false" outlineLevel="0" collapsed="false">
      <c r="A109" s="8" t="s">
        <v>433</v>
      </c>
      <c r="B109" s="8"/>
      <c r="C109" s="8" t="n">
        <v>2026</v>
      </c>
      <c r="D109" s="8" t="s">
        <v>251</v>
      </c>
      <c r="E109" s="8" t="n">
        <v>0.88</v>
      </c>
      <c r="F109" s="8" t="s">
        <v>434</v>
      </c>
      <c r="G109" s="8" t="s">
        <v>321</v>
      </c>
    </row>
    <row r="110" customFormat="false" ht="15" hidden="false" customHeight="false" outlineLevel="0" collapsed="false">
      <c r="A110" s="8" t="s">
        <v>435</v>
      </c>
      <c r="B110" s="8"/>
      <c r="C110" s="8" t="n">
        <v>2024</v>
      </c>
      <c r="D110" s="8" t="s">
        <v>251</v>
      </c>
      <c r="E110" s="8" t="n">
        <v>0.73</v>
      </c>
      <c r="F110" s="8" t="s">
        <v>436</v>
      </c>
      <c r="G110" s="8" t="s">
        <v>321</v>
      </c>
    </row>
    <row r="111" customFormat="false" ht="15" hidden="false" customHeight="false" outlineLevel="0" collapsed="false">
      <c r="A111" s="8" t="s">
        <v>437</v>
      </c>
      <c r="B111" s="8"/>
      <c r="C111" s="8" t="n">
        <v>2022</v>
      </c>
      <c r="D111" s="8" t="s">
        <v>224</v>
      </c>
      <c r="E111" s="8" t="n">
        <v>1.71</v>
      </c>
      <c r="F111" s="8" t="s">
        <v>438</v>
      </c>
      <c r="G111" s="8" t="s">
        <v>321</v>
      </c>
    </row>
    <row r="112" customFormat="false" ht="15" hidden="false" customHeight="false" outlineLevel="0" collapsed="false">
      <c r="A112" s="8" t="s">
        <v>439</v>
      </c>
      <c r="B112" s="8"/>
      <c r="C112" s="8" t="n">
        <v>2022</v>
      </c>
      <c r="D112" s="8" t="s">
        <v>224</v>
      </c>
      <c r="E112" s="8" t="n">
        <v>0.52</v>
      </c>
      <c r="F112" s="8" t="s">
        <v>440</v>
      </c>
      <c r="G112" s="8" t="s">
        <v>321</v>
      </c>
    </row>
    <row r="113" customFormat="false" ht="15" hidden="false" customHeight="false" outlineLevel="0" collapsed="false">
      <c r="A113" s="8" t="s">
        <v>441</v>
      </c>
      <c r="B113" s="8"/>
      <c r="C113" s="8" t="n">
        <v>2023</v>
      </c>
      <c r="D113" s="8" t="s">
        <v>224</v>
      </c>
      <c r="E113" s="8" t="n">
        <v>1.24</v>
      </c>
      <c r="F113" s="8" t="s">
        <v>442</v>
      </c>
      <c r="G113" s="8" t="s">
        <v>321</v>
      </c>
    </row>
    <row r="114" customFormat="false" ht="15" hidden="false" customHeight="false" outlineLevel="0" collapsed="false">
      <c r="A114" s="8" t="s">
        <v>443</v>
      </c>
      <c r="B114" s="8"/>
      <c r="C114" s="8" t="n">
        <v>2025</v>
      </c>
      <c r="D114" s="8" t="s">
        <v>224</v>
      </c>
      <c r="E114" s="8" t="n">
        <v>0.49</v>
      </c>
      <c r="F114" s="8" t="s">
        <v>444</v>
      </c>
      <c r="G114" s="8" t="s">
        <v>321</v>
      </c>
    </row>
    <row r="115" customFormat="false" ht="15" hidden="false" customHeight="false" outlineLevel="0" collapsed="false">
      <c r="A115" s="8" t="s">
        <v>445</v>
      </c>
      <c r="B115" s="8"/>
      <c r="C115" s="8" t="n">
        <v>2023</v>
      </c>
      <c r="D115" s="8" t="s">
        <v>224</v>
      </c>
      <c r="E115" s="8" t="n">
        <v>1.72</v>
      </c>
      <c r="F115" s="8" t="s">
        <v>446</v>
      </c>
      <c r="G115" s="8" t="s">
        <v>321</v>
      </c>
    </row>
    <row r="116" customFormat="false" ht="15" hidden="false" customHeight="false" outlineLevel="0" collapsed="false">
      <c r="A116" s="8" t="s">
        <v>447</v>
      </c>
      <c r="B116" s="8"/>
      <c r="C116" s="8" t="n">
        <v>2026</v>
      </c>
      <c r="D116" s="8" t="s">
        <v>224</v>
      </c>
      <c r="E116" s="8" t="n">
        <v>1.03</v>
      </c>
      <c r="F116" s="8" t="s">
        <v>448</v>
      </c>
      <c r="G116" s="8" t="s">
        <v>321</v>
      </c>
    </row>
    <row r="117" customFormat="false" ht="15" hidden="false" customHeight="false" outlineLevel="0" collapsed="false">
      <c r="A117" s="8" t="s">
        <v>449</v>
      </c>
      <c r="B117" s="8"/>
      <c r="C117" s="8" t="n">
        <v>2022</v>
      </c>
      <c r="D117" s="8" t="s">
        <v>224</v>
      </c>
      <c r="E117" s="8" t="n">
        <v>1.83</v>
      </c>
      <c r="F117" s="8" t="s">
        <v>450</v>
      </c>
      <c r="G117" s="8" t="s">
        <v>321</v>
      </c>
    </row>
    <row r="118" customFormat="false" ht="15" hidden="false" customHeight="false" outlineLevel="0" collapsed="false">
      <c r="A118" s="8" t="s">
        <v>451</v>
      </c>
      <c r="B118" s="8"/>
      <c r="C118" s="8" t="n">
        <v>2024</v>
      </c>
      <c r="D118" s="8" t="s">
        <v>236</v>
      </c>
      <c r="E118" s="8" t="n">
        <v>0.72</v>
      </c>
      <c r="F118" s="8" t="s">
        <v>452</v>
      </c>
      <c r="G118" s="8" t="s">
        <v>321</v>
      </c>
    </row>
    <row r="119" customFormat="false" ht="15" hidden="false" customHeight="false" outlineLevel="0" collapsed="false">
      <c r="A119" s="8" t="s">
        <v>453</v>
      </c>
      <c r="B119" s="8"/>
      <c r="C119" s="8" t="n">
        <v>2024</v>
      </c>
      <c r="D119" s="8" t="s">
        <v>264</v>
      </c>
      <c r="E119" s="8" t="n">
        <v>1.96</v>
      </c>
      <c r="F119" s="8" t="s">
        <v>454</v>
      </c>
      <c r="G119" s="8" t="s">
        <v>321</v>
      </c>
    </row>
    <row r="120" customFormat="false" ht="15" hidden="false" customHeight="false" outlineLevel="0" collapsed="false">
      <c r="A120" s="8" t="s">
        <v>455</v>
      </c>
      <c r="B120" s="8"/>
      <c r="C120" s="8" t="n">
        <v>2023</v>
      </c>
      <c r="D120" s="8" t="s">
        <v>224</v>
      </c>
      <c r="E120" s="8" t="n">
        <v>1.77</v>
      </c>
      <c r="F120" s="8" t="s">
        <v>456</v>
      </c>
      <c r="G120" s="8" t="s">
        <v>321</v>
      </c>
    </row>
    <row r="121" customFormat="false" ht="15" hidden="false" customHeight="false" outlineLevel="0" collapsed="false">
      <c r="A121" s="8" t="s">
        <v>457</v>
      </c>
      <c r="B121" s="8"/>
      <c r="C121" s="8" t="n">
        <v>2023</v>
      </c>
      <c r="D121" s="8" t="s">
        <v>236</v>
      </c>
      <c r="E121" s="8" t="n">
        <v>0.6</v>
      </c>
      <c r="F121" s="8" t="s">
        <v>456</v>
      </c>
      <c r="G121" s="8" t="s">
        <v>321</v>
      </c>
    </row>
    <row r="122" customFormat="false" ht="15" hidden="false" customHeight="false" outlineLevel="0" collapsed="false">
      <c r="A122" s="8" t="s">
        <v>458</v>
      </c>
      <c r="B122" s="8"/>
      <c r="C122" s="8" t="n">
        <v>2024</v>
      </c>
      <c r="D122" s="8" t="s">
        <v>264</v>
      </c>
      <c r="E122" s="8" t="n">
        <v>1.66</v>
      </c>
      <c r="F122" s="8" t="s">
        <v>459</v>
      </c>
      <c r="G122" s="8" t="s">
        <v>321</v>
      </c>
    </row>
    <row r="123" customFormat="false" ht="15" hidden="false" customHeight="false" outlineLevel="0" collapsed="false">
      <c r="A123" s="8" t="s">
        <v>460</v>
      </c>
      <c r="B123" s="8"/>
      <c r="C123" s="8" t="n">
        <v>2023</v>
      </c>
      <c r="D123" s="8" t="s">
        <v>236</v>
      </c>
      <c r="E123" s="8" t="n">
        <v>1.64</v>
      </c>
      <c r="F123" s="8" t="s">
        <v>461</v>
      </c>
      <c r="G123" s="8" t="s">
        <v>321</v>
      </c>
    </row>
    <row r="124" customFormat="false" ht="15" hidden="false" customHeight="false" outlineLevel="0" collapsed="false">
      <c r="A124" s="8" t="s">
        <v>462</v>
      </c>
      <c r="B124" s="8"/>
      <c r="C124" s="8" t="n">
        <v>2022</v>
      </c>
      <c r="D124" s="8" t="s">
        <v>236</v>
      </c>
      <c r="E124" s="8" t="n">
        <v>0.37</v>
      </c>
      <c r="F124" s="8" t="s">
        <v>463</v>
      </c>
      <c r="G124" s="8" t="s">
        <v>321</v>
      </c>
    </row>
    <row r="125" customFormat="false" ht="15" hidden="false" customHeight="false" outlineLevel="0" collapsed="false">
      <c r="A125" s="8" t="s">
        <v>464</v>
      </c>
      <c r="B125" s="8"/>
      <c r="C125" s="8" t="n">
        <v>2025</v>
      </c>
      <c r="D125" s="8" t="s">
        <v>236</v>
      </c>
      <c r="E125" s="8" t="n">
        <v>1.69</v>
      </c>
      <c r="F125" s="8" t="s">
        <v>465</v>
      </c>
      <c r="G125" s="8" t="s">
        <v>321</v>
      </c>
    </row>
    <row r="126" customFormat="false" ht="15" hidden="false" customHeight="false" outlineLevel="0" collapsed="false">
      <c r="A126" s="8" t="s">
        <v>466</v>
      </c>
      <c r="B126" s="8"/>
      <c r="C126" s="8" t="n">
        <v>2024</v>
      </c>
      <c r="D126" s="8" t="s">
        <v>264</v>
      </c>
      <c r="E126" s="8" t="n">
        <v>1.65</v>
      </c>
      <c r="F126" s="8" t="s">
        <v>467</v>
      </c>
      <c r="G126" s="8" t="s">
        <v>321</v>
      </c>
    </row>
    <row r="127" customFormat="false" ht="15" hidden="false" customHeight="false" outlineLevel="0" collapsed="false">
      <c r="A127" s="8" t="s">
        <v>468</v>
      </c>
      <c r="B127" s="8"/>
      <c r="C127" s="8" t="n">
        <v>2023</v>
      </c>
      <c r="D127" s="8" t="s">
        <v>264</v>
      </c>
      <c r="E127" s="8" t="n">
        <v>1.42</v>
      </c>
      <c r="F127" s="8" t="s">
        <v>469</v>
      </c>
      <c r="G127" s="8" t="s">
        <v>321</v>
      </c>
    </row>
    <row r="128" customFormat="false" ht="15" hidden="false" customHeight="false" outlineLevel="0" collapsed="false">
      <c r="A128" s="8" t="s">
        <v>470</v>
      </c>
      <c r="B128" s="8"/>
      <c r="C128" s="8" t="n">
        <v>2024</v>
      </c>
      <c r="D128" s="8" t="s">
        <v>264</v>
      </c>
      <c r="E128" s="8" t="n">
        <v>0.42</v>
      </c>
      <c r="F128" s="8" t="s">
        <v>471</v>
      </c>
      <c r="G128" s="8" t="s">
        <v>321</v>
      </c>
    </row>
    <row r="129" customFormat="false" ht="15" hidden="false" customHeight="false" outlineLevel="0" collapsed="false">
      <c r="A129" s="8" t="s">
        <v>472</v>
      </c>
      <c r="B129" s="8"/>
      <c r="C129" s="8" t="n">
        <v>2024</v>
      </c>
      <c r="D129" s="8" t="s">
        <v>264</v>
      </c>
      <c r="E129" s="8" t="n">
        <v>1.17</v>
      </c>
      <c r="F129" s="8" t="s">
        <v>471</v>
      </c>
      <c r="G129" s="8" t="s">
        <v>321</v>
      </c>
    </row>
    <row r="130" customFormat="false" ht="15" hidden="false" customHeight="false" outlineLevel="0" collapsed="false">
      <c r="A130" s="8" t="s">
        <v>473</v>
      </c>
      <c r="B130" s="8"/>
      <c r="C130" s="8" t="n">
        <v>2026</v>
      </c>
      <c r="D130" s="8" t="s">
        <v>264</v>
      </c>
      <c r="E130" s="8" t="n">
        <v>0.35</v>
      </c>
      <c r="F130" s="8" t="s">
        <v>474</v>
      </c>
      <c r="G130" s="8" t="s">
        <v>321</v>
      </c>
    </row>
    <row r="131" customFormat="false" ht="15" hidden="false" customHeight="false" outlineLevel="0" collapsed="false">
      <c r="A131" s="8" t="s">
        <v>475</v>
      </c>
      <c r="B131" s="8"/>
      <c r="C131" s="8" t="n">
        <v>2024</v>
      </c>
      <c r="D131" s="8" t="s">
        <v>264</v>
      </c>
      <c r="E131" s="8" t="n">
        <v>1.94</v>
      </c>
      <c r="F131" s="8" t="s">
        <v>476</v>
      </c>
      <c r="G131" s="8" t="s">
        <v>321</v>
      </c>
    </row>
    <row r="132" customFormat="false" ht="15" hidden="false" customHeight="false" outlineLevel="0" collapsed="false">
      <c r="A132" s="8" t="s">
        <v>477</v>
      </c>
      <c r="B132" s="8"/>
      <c r="C132" s="8" t="n">
        <v>2024</v>
      </c>
      <c r="D132" s="8" t="s">
        <v>264</v>
      </c>
      <c r="E132" s="8" t="n">
        <v>1.31</v>
      </c>
      <c r="F132" s="8" t="s">
        <v>476</v>
      </c>
      <c r="G132" s="8" t="s">
        <v>321</v>
      </c>
    </row>
    <row r="133" customFormat="false" ht="15" hidden="false" customHeight="false" outlineLevel="0" collapsed="false">
      <c r="A133" s="8" t="s">
        <v>478</v>
      </c>
      <c r="B133" s="8"/>
      <c r="C133" s="8" t="n">
        <v>2024</v>
      </c>
      <c r="D133" s="8" t="s">
        <v>264</v>
      </c>
      <c r="E133" s="8" t="n">
        <v>1.97</v>
      </c>
      <c r="F133" s="8" t="s">
        <v>479</v>
      </c>
      <c r="G133" s="8" t="s">
        <v>321</v>
      </c>
    </row>
    <row r="134" customFormat="false" ht="15" hidden="false" customHeight="false" outlineLevel="0" collapsed="false">
      <c r="A134" s="8" t="s">
        <v>480</v>
      </c>
      <c r="B134" s="8"/>
      <c r="C134" s="8" t="n">
        <v>2022</v>
      </c>
      <c r="D134" s="8" t="s">
        <v>264</v>
      </c>
      <c r="E134" s="8" t="n">
        <v>1.28</v>
      </c>
      <c r="F134" s="8" t="s">
        <v>481</v>
      </c>
      <c r="G134" s="8" t="s">
        <v>321</v>
      </c>
    </row>
  </sheetData>
  <dataValidations count="1">
    <dataValidation allowBlank="true" errorStyle="stop" operator="between" showDropDown="false" showErrorMessage="false" showInputMessage="false" sqref="D2:D164" type="list">
      <formula1>"Engineering and Technology,Natural Sciences,Life Sciences and Medicine,Social Sciences and Management,Arts and Humanities"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23.85" hidden="false" customHeight="false" outlineLevel="0" collapsed="false">
      <c r="A1" s="7" t="s">
        <v>482</v>
      </c>
      <c r="B1" s="7" t="s">
        <v>483</v>
      </c>
      <c r="C1" s="7" t="s">
        <v>34</v>
      </c>
      <c r="D1" s="7" t="s">
        <v>484</v>
      </c>
      <c r="E1" s="7" t="s">
        <v>485</v>
      </c>
      <c r="F1" s="7" t="s">
        <v>486</v>
      </c>
    </row>
    <row r="2" customFormat="false" ht="15" hidden="false" customHeight="false" outlineLevel="0" collapsed="false">
      <c r="A2" s="8" t="s">
        <v>223</v>
      </c>
      <c r="B2" s="8" t="s">
        <v>57</v>
      </c>
      <c r="C2" s="9" t="str">
        <f aca="false">VLOOKUP(B2,Dosen!$A:$D,4,FALSE())</f>
        <v>Faculty of Marine Technology</v>
      </c>
      <c r="D2" s="9" t="n">
        <f aca="false">VLOOKUP(A2,Publikasi!$A:$G,5,FALSE())</f>
        <v>1.87</v>
      </c>
      <c r="E2" s="9" t="str">
        <f aca="false">VLOOKUP(A2,Publikasi!$A:$G,4,FALSE())</f>
        <v>Natural Sciences</v>
      </c>
      <c r="F2" s="9" t="n">
        <f aca="false">VLOOKUP(A2,Publikasi!$A:$G,3,FALSE())</f>
        <v>2022</v>
      </c>
    </row>
    <row r="3" customFormat="false" ht="15" hidden="false" customHeight="false" outlineLevel="0" collapsed="false">
      <c r="A3" s="8" t="s">
        <v>227</v>
      </c>
      <c r="B3" s="8" t="s">
        <v>85</v>
      </c>
      <c r="C3" s="9" t="str">
        <f aca="false">VLOOKUP(B3,Dosen!$A:$D,4,FALSE())</f>
        <v>Faculty of Intelligent Electrical and Informatics Technology</v>
      </c>
      <c r="D3" s="9" t="n">
        <f aca="false">VLOOKUP(A3,Publikasi!$A:$G,5,FALSE())</f>
        <v>1.89</v>
      </c>
      <c r="E3" s="9" t="str">
        <f aca="false">VLOOKUP(A3,Publikasi!$A:$G,4,FALSE())</f>
        <v>Natural Sciences</v>
      </c>
      <c r="F3" s="9" t="n">
        <f aca="false">VLOOKUP(A3,Publikasi!$A:$G,3,FALSE())</f>
        <v>2023</v>
      </c>
    </row>
    <row r="4" customFormat="false" ht="15" hidden="false" customHeight="false" outlineLevel="0" collapsed="false">
      <c r="A4" s="8" t="s">
        <v>229</v>
      </c>
      <c r="B4" s="8" t="s">
        <v>149</v>
      </c>
      <c r="C4" s="9" t="str">
        <f aca="false">VLOOKUP(B4,Dosen!$A:$D,4,FALSE())</f>
        <v>School of Interdisciplinary Management and Technology</v>
      </c>
      <c r="D4" s="9" t="n">
        <f aca="false">VLOOKUP(A4,Publikasi!$A:$G,5,FALSE())</f>
        <v>1.81</v>
      </c>
      <c r="E4" s="9" t="str">
        <f aca="false">VLOOKUP(A4,Publikasi!$A:$G,4,FALSE())</f>
        <v>Natural Sciences</v>
      </c>
      <c r="F4" s="9" t="n">
        <f aca="false">VLOOKUP(A4,Publikasi!$A:$G,3,FALSE())</f>
        <v>2024</v>
      </c>
    </row>
    <row r="5" customFormat="false" ht="15" hidden="false" customHeight="false" outlineLevel="0" collapsed="false">
      <c r="A5" s="8" t="s">
        <v>231</v>
      </c>
      <c r="B5" s="8" t="s">
        <v>149</v>
      </c>
      <c r="C5" s="9" t="str">
        <f aca="false">VLOOKUP(B5,Dosen!$A:$D,4,FALSE())</f>
        <v>School of Interdisciplinary Management and Technology</v>
      </c>
      <c r="D5" s="9" t="n">
        <f aca="false">VLOOKUP(A5,Publikasi!$A:$G,5,FALSE())</f>
        <v>1.79</v>
      </c>
      <c r="E5" s="9" t="str">
        <f aca="false">VLOOKUP(A5,Publikasi!$A:$G,4,FALSE())</f>
        <v>Natural Sciences</v>
      </c>
      <c r="F5" s="9" t="n">
        <f aca="false">VLOOKUP(A5,Publikasi!$A:$G,3,FALSE())</f>
        <v>2025</v>
      </c>
    </row>
    <row r="6" customFormat="false" ht="15" hidden="false" customHeight="false" outlineLevel="0" collapsed="false">
      <c r="A6" s="8" t="s">
        <v>233</v>
      </c>
      <c r="B6" s="8" t="s">
        <v>65</v>
      </c>
      <c r="C6" s="9" t="str">
        <f aca="false">VLOOKUP(B6,Dosen!$A:$D,4,FALSE())</f>
        <v>Faculty of Marine Technology</v>
      </c>
      <c r="D6" s="9" t="n">
        <f aca="false">VLOOKUP(A6,Publikasi!$A:$G,5,FALSE())</f>
        <v>1.91</v>
      </c>
      <c r="E6" s="9" t="str">
        <f aca="false">VLOOKUP(A6,Publikasi!$A:$G,4,FALSE())</f>
        <v>Natural Sciences</v>
      </c>
      <c r="F6" s="9" t="n">
        <f aca="false">VLOOKUP(A6,Publikasi!$A:$G,3,FALSE())</f>
        <v>2026</v>
      </c>
    </row>
    <row r="7" customFormat="false" ht="15" hidden="false" customHeight="false" outlineLevel="0" collapsed="false">
      <c r="A7" s="8" t="s">
        <v>235</v>
      </c>
      <c r="B7" s="8" t="s">
        <v>59</v>
      </c>
      <c r="C7" s="9" t="str">
        <f aca="false">VLOOKUP(B7,Dosen!$A:$D,4,FALSE())</f>
        <v>Faculty of Marine Technology</v>
      </c>
      <c r="D7" s="9" t="n">
        <f aca="false">VLOOKUP(A7,Publikasi!$A:$G,5,FALSE())</f>
        <v>1.11</v>
      </c>
      <c r="E7" s="9" t="str">
        <f aca="false">VLOOKUP(A7,Publikasi!$A:$G,4,FALSE())</f>
        <v>Engineering and Technology</v>
      </c>
      <c r="F7" s="9" t="n">
        <f aca="false">VLOOKUP(A7,Publikasi!$A:$G,3,FALSE())</f>
        <v>2024</v>
      </c>
    </row>
    <row r="8" customFormat="false" ht="15" hidden="false" customHeight="false" outlineLevel="0" collapsed="false">
      <c r="A8" s="8" t="s">
        <v>238</v>
      </c>
      <c r="B8" s="8" t="s">
        <v>81</v>
      </c>
      <c r="C8" s="9" t="str">
        <f aca="false">VLOOKUP(B8,Dosen!$A:$D,4,FALSE())</f>
        <v>Faculty of Intelligent Electrical and Informatics Technology</v>
      </c>
      <c r="D8" s="9" t="n">
        <f aca="false">VLOOKUP(A8,Publikasi!$A:$G,5,FALSE())</f>
        <v>1.02</v>
      </c>
      <c r="E8" s="9" t="str">
        <f aca="false">VLOOKUP(A8,Publikasi!$A:$G,4,FALSE())</f>
        <v>Engineering and Technology</v>
      </c>
      <c r="F8" s="9" t="n">
        <f aca="false">VLOOKUP(A8,Publikasi!$A:$G,3,FALSE())</f>
        <v>2025</v>
      </c>
    </row>
    <row r="9" customFormat="false" ht="15" hidden="false" customHeight="false" outlineLevel="0" collapsed="false">
      <c r="A9" s="8" t="s">
        <v>240</v>
      </c>
      <c r="B9" s="8" t="s">
        <v>131</v>
      </c>
      <c r="C9" s="9" t="str">
        <f aca="false">VLOOKUP(B9,Dosen!$A:$D,4,FALSE())</f>
        <v>Faculty of Science and Data Analytics</v>
      </c>
      <c r="D9" s="9" t="n">
        <f aca="false">VLOOKUP(A9,Publikasi!$A:$G,5,FALSE())</f>
        <v>1.06</v>
      </c>
      <c r="E9" s="9" t="str">
        <f aca="false">VLOOKUP(A9,Publikasi!$A:$G,4,FALSE())</f>
        <v>Engineering and Technology</v>
      </c>
      <c r="F9" s="9" t="n">
        <f aca="false">VLOOKUP(A9,Publikasi!$A:$G,3,FALSE())</f>
        <v>2026</v>
      </c>
    </row>
    <row r="10" customFormat="false" ht="15" hidden="false" customHeight="false" outlineLevel="0" collapsed="false">
      <c r="A10" s="8" t="s">
        <v>242</v>
      </c>
      <c r="B10" s="8" t="s">
        <v>87</v>
      </c>
      <c r="C10" s="9" t="str">
        <f aca="false">VLOOKUP(B10,Dosen!$A:$D,4,FALSE())</f>
        <v>Faculty of Intelligent Electrical and Informatics Technology</v>
      </c>
      <c r="D10" s="9" t="n">
        <f aca="false">VLOOKUP(A10,Publikasi!$A:$G,5,FALSE())</f>
        <v>1.6</v>
      </c>
      <c r="E10" s="9" t="str">
        <f aca="false">VLOOKUP(A10,Publikasi!$A:$G,4,FALSE())</f>
        <v>Engineering and Technology</v>
      </c>
      <c r="F10" s="9" t="n">
        <f aca="false">VLOOKUP(A10,Publikasi!$A:$G,3,FALSE())</f>
        <v>2023</v>
      </c>
    </row>
    <row r="11" customFormat="false" ht="15" hidden="false" customHeight="false" outlineLevel="0" collapsed="false">
      <c r="A11" s="8" t="s">
        <v>244</v>
      </c>
      <c r="B11" s="8" t="s">
        <v>87</v>
      </c>
      <c r="C11" s="9" t="str">
        <f aca="false">VLOOKUP(B11,Dosen!$A:$D,4,FALSE())</f>
        <v>Faculty of Intelligent Electrical and Informatics Technology</v>
      </c>
      <c r="D11" s="9" t="n">
        <f aca="false">VLOOKUP(A11,Publikasi!$A:$G,5,FALSE())</f>
        <v>1.63</v>
      </c>
      <c r="E11" s="9" t="str">
        <f aca="false">VLOOKUP(A11,Publikasi!$A:$G,4,FALSE())</f>
        <v>Engineering and Technology</v>
      </c>
      <c r="F11" s="9" t="n">
        <f aca="false">VLOOKUP(A11,Publikasi!$A:$G,3,FALSE())</f>
        <v>2024</v>
      </c>
    </row>
    <row r="12" customFormat="false" ht="15" hidden="false" customHeight="false" outlineLevel="0" collapsed="false">
      <c r="A12" s="8" t="s">
        <v>246</v>
      </c>
      <c r="B12" s="8" t="s">
        <v>87</v>
      </c>
      <c r="C12" s="9" t="str">
        <f aca="false">VLOOKUP(B12,Dosen!$A:$D,4,FALSE())</f>
        <v>Faculty of Intelligent Electrical and Informatics Technology</v>
      </c>
      <c r="D12" s="9" t="n">
        <f aca="false">VLOOKUP(A12,Publikasi!$A:$G,5,FALSE())</f>
        <v>1.7</v>
      </c>
      <c r="E12" s="9" t="str">
        <f aca="false">VLOOKUP(A12,Publikasi!$A:$G,4,FALSE())</f>
        <v>Engineering and Technology</v>
      </c>
      <c r="F12" s="9" t="n">
        <f aca="false">VLOOKUP(A12,Publikasi!$A:$G,3,FALSE())</f>
        <v>2025</v>
      </c>
    </row>
    <row r="13" customFormat="false" ht="15" hidden="false" customHeight="false" outlineLevel="0" collapsed="false">
      <c r="A13" s="8" t="s">
        <v>248</v>
      </c>
      <c r="B13" s="8" t="s">
        <v>87</v>
      </c>
      <c r="C13" s="9" t="str">
        <f aca="false">VLOOKUP(B13,Dosen!$A:$D,4,FALSE())</f>
        <v>Faculty of Intelligent Electrical and Informatics Technology</v>
      </c>
      <c r="D13" s="9" t="n">
        <f aca="false">VLOOKUP(A13,Publikasi!$A:$G,5,FALSE())</f>
        <v>1.69</v>
      </c>
      <c r="E13" s="9" t="str">
        <f aca="false">VLOOKUP(A13,Publikasi!$A:$G,4,FALSE())</f>
        <v>Engineering and Technology</v>
      </c>
      <c r="F13" s="9" t="n">
        <f aca="false">VLOOKUP(A13,Publikasi!$A:$G,3,FALSE())</f>
        <v>2026</v>
      </c>
    </row>
    <row r="14" customFormat="false" ht="15" hidden="false" customHeight="false" outlineLevel="0" collapsed="false">
      <c r="A14" s="8" t="s">
        <v>250</v>
      </c>
      <c r="B14" s="8" t="s">
        <v>129</v>
      </c>
      <c r="C14" s="9" t="str">
        <f aca="false">VLOOKUP(B14,Dosen!$A:$D,4,FALSE())</f>
        <v>Faculty of Science and Data Analytics</v>
      </c>
      <c r="D14" s="9" t="n">
        <f aca="false">VLOOKUP(A14,Publikasi!$A:$G,5,FALSE())</f>
        <v>1.41</v>
      </c>
      <c r="E14" s="9" t="str">
        <f aca="false">VLOOKUP(A14,Publikasi!$A:$G,4,FALSE())</f>
        <v>Life Sciences and Medicine</v>
      </c>
      <c r="F14" s="9" t="n">
        <f aca="false">VLOOKUP(A14,Publikasi!$A:$G,3,FALSE())</f>
        <v>2022</v>
      </c>
    </row>
    <row r="15" customFormat="false" ht="15" hidden="false" customHeight="false" outlineLevel="0" collapsed="false">
      <c r="A15" s="8" t="s">
        <v>253</v>
      </c>
      <c r="B15" s="8" t="s">
        <v>55</v>
      </c>
      <c r="C15" s="9" t="str">
        <f aca="false">VLOOKUP(B15,Dosen!$A:$D,4,FALSE())</f>
        <v>Faculty of Marine Technology</v>
      </c>
      <c r="D15" s="9" t="n">
        <f aca="false">VLOOKUP(A15,Publikasi!$A:$G,5,FALSE())</f>
        <v>1.41</v>
      </c>
      <c r="E15" s="9" t="str">
        <f aca="false">VLOOKUP(A15,Publikasi!$A:$G,4,FALSE())</f>
        <v>Life Sciences and Medicine</v>
      </c>
      <c r="F15" s="9" t="n">
        <f aca="false">VLOOKUP(A15,Publikasi!$A:$G,3,FALSE())</f>
        <v>2023</v>
      </c>
    </row>
    <row r="16" customFormat="false" ht="15" hidden="false" customHeight="false" outlineLevel="0" collapsed="false">
      <c r="A16" s="8" t="s">
        <v>255</v>
      </c>
      <c r="B16" s="8" t="s">
        <v>75</v>
      </c>
      <c r="C16" s="9" t="str">
        <f aca="false">VLOOKUP(B16,Dosen!$A:$D,4,FALSE())</f>
        <v>Faculty of Intelligent Electrical and Informatics Technology</v>
      </c>
      <c r="D16" s="9" t="n">
        <f aca="false">VLOOKUP(A16,Publikasi!$A:$G,5,FALSE())</f>
        <v>1.49</v>
      </c>
      <c r="E16" s="9" t="str">
        <f aca="false">VLOOKUP(A16,Publikasi!$A:$G,4,FALSE())</f>
        <v>Life Sciences and Medicine</v>
      </c>
      <c r="F16" s="9" t="n">
        <f aca="false">VLOOKUP(A16,Publikasi!$A:$G,3,FALSE())</f>
        <v>2024</v>
      </c>
    </row>
    <row r="17" customFormat="false" ht="15" hidden="false" customHeight="false" outlineLevel="0" collapsed="false">
      <c r="A17" s="8" t="s">
        <v>257</v>
      </c>
      <c r="B17" s="8" t="s">
        <v>97</v>
      </c>
      <c r="C17" s="9" t="str">
        <f aca="false">VLOOKUP(B17,Dosen!$A:$D,4,FALSE())</f>
        <v>Faculty of Civil, Planning, and Geo-Engineering</v>
      </c>
      <c r="D17" s="9" t="n">
        <f aca="false">VLOOKUP(A17,Publikasi!$A:$G,5,FALSE())</f>
        <v>1.23</v>
      </c>
      <c r="E17" s="9" t="str">
        <f aca="false">VLOOKUP(A17,Publikasi!$A:$G,4,FALSE())</f>
        <v>Natural Sciences</v>
      </c>
      <c r="F17" s="9" t="n">
        <f aca="false">VLOOKUP(A17,Publikasi!$A:$G,3,FALSE())</f>
        <v>2022</v>
      </c>
    </row>
    <row r="18" customFormat="false" ht="15" hidden="false" customHeight="false" outlineLevel="0" collapsed="false">
      <c r="A18" s="8" t="s">
        <v>259</v>
      </c>
      <c r="B18" s="8" t="s">
        <v>81</v>
      </c>
      <c r="C18" s="9" t="str">
        <f aca="false">VLOOKUP(B18,Dosen!$A:$D,4,FALSE())</f>
        <v>Faculty of Intelligent Electrical and Informatics Technology</v>
      </c>
      <c r="D18" s="9" t="n">
        <f aca="false">VLOOKUP(A18,Publikasi!$A:$G,5,FALSE())</f>
        <v>1.16</v>
      </c>
      <c r="E18" s="9" t="str">
        <f aca="false">VLOOKUP(A18,Publikasi!$A:$G,4,FALSE())</f>
        <v>Natural Sciences</v>
      </c>
      <c r="F18" s="9" t="n">
        <f aca="false">VLOOKUP(A18,Publikasi!$A:$G,3,FALSE())</f>
        <v>2023</v>
      </c>
    </row>
    <row r="19" customFormat="false" ht="15" hidden="false" customHeight="false" outlineLevel="0" collapsed="false">
      <c r="A19" s="8" t="s">
        <v>261</v>
      </c>
      <c r="B19" s="8" t="s">
        <v>97</v>
      </c>
      <c r="C19" s="9" t="str">
        <f aca="false">VLOOKUP(B19,Dosen!$A:$D,4,FALSE())</f>
        <v>Faculty of Civil, Planning, and Geo-Engineering</v>
      </c>
      <c r="D19" s="9" t="n">
        <f aca="false">VLOOKUP(A19,Publikasi!$A:$G,5,FALSE())</f>
        <v>1.27</v>
      </c>
      <c r="E19" s="9" t="str">
        <f aca="false">VLOOKUP(A19,Publikasi!$A:$G,4,FALSE())</f>
        <v>Natural Sciences</v>
      </c>
      <c r="F19" s="9" t="n">
        <f aca="false">VLOOKUP(A19,Publikasi!$A:$G,3,FALSE())</f>
        <v>2024</v>
      </c>
    </row>
    <row r="20" customFormat="false" ht="15" hidden="false" customHeight="false" outlineLevel="0" collapsed="false">
      <c r="A20" s="8" t="s">
        <v>263</v>
      </c>
      <c r="B20" s="8" t="s">
        <v>103</v>
      </c>
      <c r="C20" s="9" t="str">
        <f aca="false">VLOOKUP(B20,Dosen!$A:$D,4,FALSE())</f>
        <v>Faculty of Industrial Technology and System Engineering</v>
      </c>
      <c r="D20" s="9" t="n">
        <f aca="false">VLOOKUP(A20,Publikasi!$A:$G,5,FALSE())</f>
        <v>0.89</v>
      </c>
      <c r="E20" s="9" t="str">
        <f aca="false">VLOOKUP(A20,Publikasi!$A:$G,4,FALSE())</f>
        <v>Social Sciences and Management</v>
      </c>
      <c r="F20" s="9" t="n">
        <f aca="false">VLOOKUP(A20,Publikasi!$A:$G,3,FALSE())</f>
        <v>2022</v>
      </c>
    </row>
    <row r="21" customFormat="false" ht="15" hidden="false" customHeight="false" outlineLevel="0" collapsed="false">
      <c r="A21" s="8" t="s">
        <v>266</v>
      </c>
      <c r="B21" s="8" t="s">
        <v>99</v>
      </c>
      <c r="C21" s="9" t="str">
        <f aca="false">VLOOKUP(B21,Dosen!$A:$D,4,FALSE())</f>
        <v>Faculty of Civil, Planning, and Geo-Engineering</v>
      </c>
      <c r="D21" s="9" t="n">
        <f aca="false">VLOOKUP(A21,Publikasi!$A:$G,5,FALSE())</f>
        <v>0.89</v>
      </c>
      <c r="E21" s="9" t="str">
        <f aca="false">VLOOKUP(A21,Publikasi!$A:$G,4,FALSE())</f>
        <v>Social Sciences and Management</v>
      </c>
      <c r="F21" s="9" t="n">
        <f aca="false">VLOOKUP(A21,Publikasi!$A:$G,3,FALSE())</f>
        <v>2023</v>
      </c>
    </row>
    <row r="22" customFormat="false" ht="15" hidden="false" customHeight="false" outlineLevel="0" collapsed="false">
      <c r="A22" s="8" t="s">
        <v>268</v>
      </c>
      <c r="B22" s="8" t="s">
        <v>59</v>
      </c>
      <c r="C22" s="9" t="str">
        <f aca="false">VLOOKUP(B22,Dosen!$A:$D,4,FALSE())</f>
        <v>Faculty of Marine Technology</v>
      </c>
      <c r="D22" s="9" t="n">
        <f aca="false">VLOOKUP(A22,Publikasi!$A:$G,5,FALSE())</f>
        <v>0.97</v>
      </c>
      <c r="E22" s="9" t="str">
        <f aca="false">VLOOKUP(A22,Publikasi!$A:$G,4,FALSE())</f>
        <v>Social Sciences and Management</v>
      </c>
      <c r="F22" s="9" t="n">
        <f aca="false">VLOOKUP(A22,Publikasi!$A:$G,3,FALSE())</f>
        <v>2024</v>
      </c>
    </row>
    <row r="23" customFormat="false" ht="15" hidden="false" customHeight="false" outlineLevel="0" collapsed="false">
      <c r="A23" s="8" t="s">
        <v>270</v>
      </c>
      <c r="B23" s="8" t="s">
        <v>63</v>
      </c>
      <c r="C23" s="9" t="str">
        <f aca="false">VLOOKUP(B23,Dosen!$A:$D,4,FALSE())</f>
        <v>Faculty of Marine Technology</v>
      </c>
      <c r="D23" s="9" t="n">
        <f aca="false">VLOOKUP(A23,Publikasi!$A:$G,5,FALSE())</f>
        <v>1.66</v>
      </c>
      <c r="E23" s="9" t="str">
        <f aca="false">VLOOKUP(A23,Publikasi!$A:$G,4,FALSE())</f>
        <v>Engineering and Technology</v>
      </c>
      <c r="F23" s="9" t="n">
        <f aca="false">VLOOKUP(A23,Publikasi!$A:$G,3,FALSE())</f>
        <v>2025</v>
      </c>
    </row>
    <row r="24" customFormat="false" ht="15" hidden="false" customHeight="false" outlineLevel="0" collapsed="false">
      <c r="A24" s="8" t="s">
        <v>272</v>
      </c>
      <c r="B24" s="8" t="s">
        <v>63</v>
      </c>
      <c r="C24" s="9" t="str">
        <f aca="false">VLOOKUP(B24,Dosen!$A:$D,4,FALSE())</f>
        <v>Faculty of Marine Technology</v>
      </c>
      <c r="D24" s="9" t="n">
        <f aca="false">VLOOKUP(A24,Publikasi!$A:$G,5,FALSE())</f>
        <v>1.63</v>
      </c>
      <c r="E24" s="9" t="str">
        <f aca="false">VLOOKUP(A24,Publikasi!$A:$G,4,FALSE())</f>
        <v>Engineering and Technology</v>
      </c>
      <c r="F24" s="9" t="n">
        <f aca="false">VLOOKUP(A24,Publikasi!$A:$G,3,FALSE())</f>
        <v>2026</v>
      </c>
    </row>
    <row r="25" customFormat="false" ht="15" hidden="false" customHeight="false" outlineLevel="0" collapsed="false">
      <c r="A25" s="8" t="s">
        <v>274</v>
      </c>
      <c r="B25" s="8" t="s">
        <v>67</v>
      </c>
      <c r="C25" s="9" t="str">
        <f aca="false">VLOOKUP(B25,Dosen!$A:$D,4,FALSE())</f>
        <v>Faculty of Marine Technology</v>
      </c>
      <c r="D25" s="9" t="n">
        <f aca="false">VLOOKUP(A25,Publikasi!$A:$G,5,FALSE())</f>
        <v>1.13</v>
      </c>
      <c r="E25" s="9" t="str">
        <f aca="false">VLOOKUP(A25,Publikasi!$A:$G,4,FALSE())</f>
        <v>Engineering and Technology</v>
      </c>
      <c r="F25" s="9" t="n">
        <f aca="false">VLOOKUP(A25,Publikasi!$A:$G,3,FALSE())</f>
        <v>2026</v>
      </c>
    </row>
    <row r="26" customFormat="false" ht="15" hidden="false" customHeight="false" outlineLevel="0" collapsed="false">
      <c r="A26" s="8" t="s">
        <v>276</v>
      </c>
      <c r="B26" s="8" t="s">
        <v>81</v>
      </c>
      <c r="C26" s="9" t="str">
        <f aca="false">VLOOKUP(B26,Dosen!$A:$D,4,FALSE())</f>
        <v>Faculty of Intelligent Electrical and Informatics Technology</v>
      </c>
      <c r="D26" s="9" t="n">
        <f aca="false">VLOOKUP(A26,Publikasi!$A:$G,5,FALSE())</f>
        <v>0.7</v>
      </c>
      <c r="E26" s="9" t="str">
        <f aca="false">VLOOKUP(A26,Publikasi!$A:$G,4,FALSE())</f>
        <v>Engineering and Technology</v>
      </c>
      <c r="F26" s="9" t="n">
        <f aca="false">VLOOKUP(A26,Publikasi!$A:$G,3,FALSE())</f>
        <v>2026</v>
      </c>
    </row>
    <row r="27" customFormat="false" ht="15" hidden="false" customHeight="false" outlineLevel="0" collapsed="false">
      <c r="A27" s="8" t="s">
        <v>278</v>
      </c>
      <c r="B27" s="8" t="s">
        <v>135</v>
      </c>
      <c r="C27" s="9" t="str">
        <f aca="false">VLOOKUP(B27,Dosen!$A:$D,4,FALSE())</f>
        <v>Faculty of Vocation</v>
      </c>
      <c r="D27" s="9" t="n">
        <f aca="false">VLOOKUP(A27,Publikasi!$A:$G,5,FALSE())</f>
        <v>1.76</v>
      </c>
      <c r="E27" s="9" t="str">
        <f aca="false">VLOOKUP(A27,Publikasi!$A:$G,4,FALSE())</f>
        <v>Natural Sciences</v>
      </c>
      <c r="F27" s="9" t="n">
        <f aca="false">VLOOKUP(A27,Publikasi!$A:$G,3,FALSE())</f>
        <v>2025</v>
      </c>
    </row>
    <row r="28" customFormat="false" ht="15" hidden="false" customHeight="false" outlineLevel="0" collapsed="false">
      <c r="A28" s="8" t="s">
        <v>280</v>
      </c>
      <c r="B28" s="8" t="s">
        <v>101</v>
      </c>
      <c r="C28" s="9" t="str">
        <f aca="false">VLOOKUP(B28,Dosen!$A:$D,4,FALSE())</f>
        <v>Faculty of Civil, Planning, and Geo-Engineering</v>
      </c>
      <c r="D28" s="9" t="n">
        <f aca="false">VLOOKUP(A28,Publikasi!$A:$G,5,FALSE())</f>
        <v>1.77</v>
      </c>
      <c r="E28" s="9" t="str">
        <f aca="false">VLOOKUP(A28,Publikasi!$A:$G,4,FALSE())</f>
        <v>Natural Sciences</v>
      </c>
      <c r="F28" s="9" t="n">
        <f aca="false">VLOOKUP(A28,Publikasi!$A:$G,3,FALSE())</f>
        <v>2026</v>
      </c>
    </row>
    <row r="29" customFormat="false" ht="15" hidden="false" customHeight="false" outlineLevel="0" collapsed="false">
      <c r="A29" s="8" t="s">
        <v>282</v>
      </c>
      <c r="B29" s="8" t="s">
        <v>145</v>
      </c>
      <c r="C29" s="9" t="str">
        <f aca="false">VLOOKUP(B29,Dosen!$A:$D,4,FALSE())</f>
        <v>School of Interdisciplinary Management and Technology</v>
      </c>
      <c r="D29" s="9" t="n">
        <f aca="false">VLOOKUP(A29,Publikasi!$A:$G,5,FALSE())</f>
        <v>1.31</v>
      </c>
      <c r="E29" s="9" t="str">
        <f aca="false">VLOOKUP(A29,Publikasi!$A:$G,4,FALSE())</f>
        <v>Life Sciences and Medicine</v>
      </c>
      <c r="F29" s="9" t="n">
        <f aca="false">VLOOKUP(A29,Publikasi!$A:$G,3,FALSE())</f>
        <v>2025</v>
      </c>
    </row>
    <row r="30" customFormat="false" ht="15" hidden="false" customHeight="false" outlineLevel="0" collapsed="false">
      <c r="A30" s="8" t="s">
        <v>284</v>
      </c>
      <c r="B30" s="8" t="s">
        <v>139</v>
      </c>
      <c r="C30" s="9" t="str">
        <f aca="false">VLOOKUP(B30,Dosen!$A:$D,4,FALSE())</f>
        <v>Faculty of Vocation</v>
      </c>
      <c r="D30" s="9" t="n">
        <f aca="false">VLOOKUP(A30,Publikasi!$A:$G,5,FALSE())</f>
        <v>1.23</v>
      </c>
      <c r="E30" s="9" t="str">
        <f aca="false">VLOOKUP(A30,Publikasi!$A:$G,4,FALSE())</f>
        <v>Life Sciences and Medicine</v>
      </c>
      <c r="F30" s="9" t="n">
        <f aca="false">VLOOKUP(A30,Publikasi!$A:$G,3,FALSE())</f>
        <v>2026</v>
      </c>
    </row>
    <row r="31" customFormat="false" ht="15" hidden="false" customHeight="false" outlineLevel="0" collapsed="false">
      <c r="A31" s="8" t="s">
        <v>286</v>
      </c>
      <c r="B31" s="8" t="s">
        <v>91</v>
      </c>
      <c r="C31" s="9" t="str">
        <f aca="false">VLOOKUP(B31,Dosen!$A:$D,4,FALSE())</f>
        <v>Faculty of Intelligent Electrical and Informatics Technology</v>
      </c>
      <c r="D31" s="9" t="n">
        <f aca="false">VLOOKUP(A31,Publikasi!$A:$G,5,FALSE())</f>
        <v>0.46</v>
      </c>
      <c r="E31" s="9" t="str">
        <f aca="false">VLOOKUP(A31,Publikasi!$A:$G,4,FALSE())</f>
        <v>Engineering and Technology</v>
      </c>
      <c r="F31" s="9" t="n">
        <f aca="false">VLOOKUP(A31,Publikasi!$A:$G,3,FALSE())</f>
        <v>2024</v>
      </c>
    </row>
    <row r="32" customFormat="false" ht="15" hidden="false" customHeight="false" outlineLevel="0" collapsed="false">
      <c r="A32" s="8" t="s">
        <v>288</v>
      </c>
      <c r="B32" s="8" t="s">
        <v>83</v>
      </c>
      <c r="C32" s="9" t="str">
        <f aca="false">VLOOKUP(B32,Dosen!$A:$D,4,FALSE())</f>
        <v>Faculty of Intelligent Electrical and Informatics Technology</v>
      </c>
      <c r="D32" s="9" t="n">
        <f aca="false">VLOOKUP(A32,Publikasi!$A:$G,5,FALSE())</f>
        <v>0.58</v>
      </c>
      <c r="E32" s="9" t="str">
        <f aca="false">VLOOKUP(A32,Publikasi!$A:$G,4,FALSE())</f>
        <v>Engineering and Technology</v>
      </c>
      <c r="F32" s="9" t="n">
        <f aca="false">VLOOKUP(A32,Publikasi!$A:$G,3,FALSE())</f>
        <v>2025</v>
      </c>
    </row>
    <row r="33" customFormat="false" ht="15" hidden="false" customHeight="false" outlineLevel="0" collapsed="false">
      <c r="A33" s="8" t="s">
        <v>290</v>
      </c>
      <c r="B33" s="8" t="s">
        <v>103</v>
      </c>
      <c r="C33" s="9" t="str">
        <f aca="false">VLOOKUP(B33,Dosen!$A:$D,4,FALSE())</f>
        <v>Faculty of Industrial Technology and System Engineering</v>
      </c>
      <c r="D33" s="9" t="n">
        <f aca="false">VLOOKUP(A33,Publikasi!$A:$G,5,FALSE())</f>
        <v>1.46</v>
      </c>
      <c r="E33" s="9" t="str">
        <f aca="false">VLOOKUP(A33,Publikasi!$A:$G,4,FALSE())</f>
        <v>Engineering and Technology</v>
      </c>
      <c r="F33" s="9" t="n">
        <f aca="false">VLOOKUP(A33,Publikasi!$A:$G,3,FALSE())</f>
        <v>2025</v>
      </c>
    </row>
    <row r="34" customFormat="false" ht="15" hidden="false" customHeight="false" outlineLevel="0" collapsed="false">
      <c r="A34" s="8" t="s">
        <v>292</v>
      </c>
      <c r="B34" s="8" t="s">
        <v>135</v>
      </c>
      <c r="C34" s="9" t="str">
        <f aca="false">VLOOKUP(B34,Dosen!$A:$D,4,FALSE())</f>
        <v>Faculty of Vocation</v>
      </c>
      <c r="D34" s="9" t="n">
        <f aca="false">VLOOKUP(A34,Publikasi!$A:$G,5,FALSE())</f>
        <v>1.51</v>
      </c>
      <c r="E34" s="9" t="str">
        <f aca="false">VLOOKUP(A34,Publikasi!$A:$G,4,FALSE())</f>
        <v>Engineering and Technology</v>
      </c>
      <c r="F34" s="9" t="n">
        <f aca="false">VLOOKUP(A34,Publikasi!$A:$G,3,FALSE())</f>
        <v>2022</v>
      </c>
    </row>
    <row r="35" customFormat="false" ht="15" hidden="false" customHeight="false" outlineLevel="0" collapsed="false">
      <c r="A35" s="8" t="s">
        <v>294</v>
      </c>
      <c r="B35" s="8" t="s">
        <v>75</v>
      </c>
      <c r="C35" s="9" t="str">
        <f aca="false">VLOOKUP(B35,Dosen!$A:$D,4,FALSE())</f>
        <v>Faculty of Intelligent Electrical and Informatics Technology</v>
      </c>
      <c r="D35" s="9" t="n">
        <f aca="false">VLOOKUP(A35,Publikasi!$A:$G,5,FALSE())</f>
        <v>0.65</v>
      </c>
      <c r="E35" s="9" t="str">
        <f aca="false">VLOOKUP(A35,Publikasi!$A:$G,4,FALSE())</f>
        <v>Social Sciences and Management</v>
      </c>
      <c r="F35" s="9" t="n">
        <f aca="false">VLOOKUP(A35,Publikasi!$A:$G,3,FALSE())</f>
        <v>2023</v>
      </c>
    </row>
    <row r="36" customFormat="false" ht="15" hidden="false" customHeight="false" outlineLevel="0" collapsed="false">
      <c r="A36" s="8" t="s">
        <v>296</v>
      </c>
      <c r="B36" s="8" t="s">
        <v>81</v>
      </c>
      <c r="C36" s="9" t="str">
        <f aca="false">VLOOKUP(B36,Dosen!$A:$D,4,FALSE())</f>
        <v>Faculty of Intelligent Electrical and Informatics Technology</v>
      </c>
      <c r="D36" s="9" t="n">
        <f aca="false">VLOOKUP(A36,Publikasi!$A:$G,5,FALSE())</f>
        <v>0.33</v>
      </c>
      <c r="E36" s="9" t="str">
        <f aca="false">VLOOKUP(A36,Publikasi!$A:$G,4,FALSE())</f>
        <v>Arts and Humanities</v>
      </c>
      <c r="F36" s="9" t="n">
        <f aca="false">VLOOKUP(A36,Publikasi!$A:$G,3,FALSE())</f>
        <v>2022</v>
      </c>
    </row>
    <row r="37" customFormat="false" ht="15" hidden="false" customHeight="false" outlineLevel="0" collapsed="false">
      <c r="A37" s="8" t="s">
        <v>299</v>
      </c>
      <c r="B37" s="8" t="s">
        <v>143</v>
      </c>
      <c r="C37" s="9" t="str">
        <f aca="false">VLOOKUP(B37,Dosen!$A:$D,4,FALSE())</f>
        <v>School of Interdisciplinary Management and Technology</v>
      </c>
      <c r="D37" s="9" t="n">
        <f aca="false">VLOOKUP(A37,Publikasi!$A:$G,5,FALSE())</f>
        <v>0.88</v>
      </c>
      <c r="E37" s="9" t="str">
        <f aca="false">VLOOKUP(A37,Publikasi!$A:$G,4,FALSE())</f>
        <v>Engineering and Technology</v>
      </c>
      <c r="F37" s="9" t="n">
        <f aca="false">VLOOKUP(A37,Publikasi!$A:$G,3,FALSE())</f>
        <v>2017</v>
      </c>
    </row>
    <row r="38" customFormat="false" ht="15" hidden="false" customHeight="false" outlineLevel="0" collapsed="false">
      <c r="A38" s="8" t="s">
        <v>301</v>
      </c>
      <c r="B38" s="8" t="s">
        <v>137</v>
      </c>
      <c r="C38" s="9" t="str">
        <f aca="false">VLOOKUP(B38,Dosen!$A:$D,4,FALSE())</f>
        <v>Faculty of Vocation</v>
      </c>
      <c r="D38" s="9" t="n">
        <f aca="false">VLOOKUP(A38,Publikasi!$A:$G,5,FALSE())</f>
        <v>0.92</v>
      </c>
      <c r="E38" s="9" t="str">
        <f aca="false">VLOOKUP(A38,Publikasi!$A:$G,4,FALSE())</f>
        <v>Engineering and Technology</v>
      </c>
      <c r="F38" s="9" t="n">
        <f aca="false">VLOOKUP(A38,Publikasi!$A:$G,3,FALSE())</f>
        <v>2018</v>
      </c>
    </row>
    <row r="39" customFormat="false" ht="15" hidden="false" customHeight="false" outlineLevel="0" collapsed="false">
      <c r="A39" s="8" t="s">
        <v>303</v>
      </c>
      <c r="B39" s="8" t="s">
        <v>135</v>
      </c>
      <c r="C39" s="9" t="str">
        <f aca="false">VLOOKUP(B39,Dosen!$A:$D,4,FALSE())</f>
        <v>Faculty of Vocation</v>
      </c>
      <c r="D39" s="9" t="n">
        <f aca="false">VLOOKUP(A39,Publikasi!$A:$G,5,FALSE())</f>
        <v>0.78</v>
      </c>
      <c r="E39" s="9" t="str">
        <f aca="false">VLOOKUP(A39,Publikasi!$A:$G,4,FALSE())</f>
        <v>Engineering and Technology</v>
      </c>
      <c r="F39" s="9" t="n">
        <f aca="false">VLOOKUP(A39,Publikasi!$A:$G,3,FALSE())</f>
        <v>2019</v>
      </c>
    </row>
    <row r="40" customFormat="false" ht="15" hidden="false" customHeight="false" outlineLevel="0" collapsed="false">
      <c r="A40" s="8" t="s">
        <v>305</v>
      </c>
      <c r="B40" s="8" t="s">
        <v>147</v>
      </c>
      <c r="C40" s="9" t="str">
        <f aca="false">VLOOKUP(B40,Dosen!$A:$D,4,FALSE())</f>
        <v>School of Interdisciplinary Management and Technology</v>
      </c>
      <c r="D40" s="9" t="n">
        <f aca="false">VLOOKUP(A40,Publikasi!$A:$G,5,FALSE())</f>
        <v>0.85</v>
      </c>
      <c r="E40" s="9" t="str">
        <f aca="false">VLOOKUP(A40,Publikasi!$A:$G,4,FALSE())</f>
        <v>Natural Sciences</v>
      </c>
      <c r="F40" s="9" t="n">
        <f aca="false">VLOOKUP(A40,Publikasi!$A:$G,3,FALSE())</f>
        <v>2015</v>
      </c>
    </row>
    <row r="41" customFormat="false" ht="15" hidden="false" customHeight="false" outlineLevel="0" collapsed="false">
      <c r="A41" s="8" t="s">
        <v>307</v>
      </c>
      <c r="B41" s="8" t="s">
        <v>113</v>
      </c>
      <c r="C41" s="9" t="str">
        <f aca="false">VLOOKUP(B41,Dosen!$A:$D,4,FALSE())</f>
        <v>Faculty of Creative Design and Digital Business</v>
      </c>
      <c r="D41" s="9" t="n">
        <f aca="false">VLOOKUP(A41,Publikasi!$A:$G,5,FALSE())</f>
        <v>0.86</v>
      </c>
      <c r="E41" s="9" t="str">
        <f aca="false">VLOOKUP(A41,Publikasi!$A:$G,4,FALSE())</f>
        <v>Natural Sciences</v>
      </c>
      <c r="F41" s="9" t="n">
        <f aca="false">VLOOKUP(A41,Publikasi!$A:$G,3,FALSE())</f>
        <v>2016</v>
      </c>
    </row>
    <row r="42" customFormat="false" ht="15" hidden="false" customHeight="false" outlineLevel="0" collapsed="false">
      <c r="A42" s="8" t="s">
        <v>309</v>
      </c>
      <c r="B42" s="8" t="s">
        <v>135</v>
      </c>
      <c r="C42" s="9" t="str">
        <f aca="false">VLOOKUP(B42,Dosen!$A:$D,4,FALSE())</f>
        <v>Faculty of Vocation</v>
      </c>
      <c r="D42" s="9" t="n">
        <f aca="false">VLOOKUP(A42,Publikasi!$A:$G,5,FALSE())</f>
        <v>0.88</v>
      </c>
      <c r="E42" s="9" t="str">
        <f aca="false">VLOOKUP(A42,Publikasi!$A:$G,4,FALSE())</f>
        <v>Natural Sciences</v>
      </c>
      <c r="F42" s="9" t="n">
        <f aca="false">VLOOKUP(A42,Publikasi!$A:$G,3,FALSE())</f>
        <v>2017</v>
      </c>
    </row>
    <row r="43" customFormat="false" ht="15" hidden="false" customHeight="false" outlineLevel="0" collapsed="false">
      <c r="A43" s="8" t="s">
        <v>311</v>
      </c>
      <c r="B43" s="8" t="s">
        <v>83</v>
      </c>
      <c r="C43" s="9" t="str">
        <f aca="false">VLOOKUP(B43,Dosen!$A:$D,4,FALSE())</f>
        <v>Faculty of Intelligent Electrical and Informatics Technology</v>
      </c>
      <c r="D43" s="9" t="n">
        <f aca="false">VLOOKUP(A43,Publikasi!$A:$G,5,FALSE())</f>
        <v>0.93</v>
      </c>
      <c r="E43" s="9" t="str">
        <f aca="false">VLOOKUP(A43,Publikasi!$A:$G,4,FALSE())</f>
        <v>Natural Sciences</v>
      </c>
      <c r="F43" s="9" t="n">
        <f aca="false">VLOOKUP(A43,Publikasi!$A:$G,3,FALSE())</f>
        <v>2018</v>
      </c>
    </row>
    <row r="44" customFormat="false" ht="15" hidden="false" customHeight="false" outlineLevel="0" collapsed="false">
      <c r="A44" s="8" t="s">
        <v>313</v>
      </c>
      <c r="B44" s="8" t="s">
        <v>61</v>
      </c>
      <c r="C44" s="9" t="str">
        <f aca="false">VLOOKUP(B44,Dosen!$A:$D,4,FALSE())</f>
        <v>Faculty of Marine Technology</v>
      </c>
      <c r="D44" s="9" t="n">
        <f aca="false">VLOOKUP(A44,Publikasi!$A:$G,5,FALSE())</f>
        <v>0.73</v>
      </c>
      <c r="E44" s="9" t="str">
        <f aca="false">VLOOKUP(A44,Publikasi!$A:$G,4,FALSE())</f>
        <v>Social Sciences and Management</v>
      </c>
      <c r="F44" s="9" t="n">
        <f aca="false">VLOOKUP(A44,Publikasi!$A:$G,3,FALSE())</f>
        <v>2017</v>
      </c>
    </row>
    <row r="45" customFormat="false" ht="15" hidden="false" customHeight="false" outlineLevel="0" collapsed="false">
      <c r="A45" s="8" t="s">
        <v>315</v>
      </c>
      <c r="B45" s="8" t="s">
        <v>59</v>
      </c>
      <c r="C45" s="9" t="str">
        <f aca="false">VLOOKUP(B45,Dosen!$A:$D,4,FALSE())</f>
        <v>Faculty of Marine Technology</v>
      </c>
      <c r="D45" s="9" t="n">
        <f aca="false">VLOOKUP(A45,Publikasi!$A:$G,5,FALSE())</f>
        <v>0.66</v>
      </c>
      <c r="E45" s="9" t="str">
        <f aca="false">VLOOKUP(A45,Publikasi!$A:$G,4,FALSE())</f>
        <v>Social Sciences and Management</v>
      </c>
      <c r="F45" s="9" t="n">
        <f aca="false">VLOOKUP(A45,Publikasi!$A:$G,3,FALSE())</f>
        <v>2018</v>
      </c>
    </row>
    <row r="46" customFormat="false" ht="15" hidden="false" customHeight="false" outlineLevel="0" collapsed="false">
      <c r="A46" s="8" t="s">
        <v>317</v>
      </c>
      <c r="B46" s="8" t="s">
        <v>105</v>
      </c>
      <c r="C46" s="9" t="str">
        <f aca="false">VLOOKUP(B46,Dosen!$A:$D,4,FALSE())</f>
        <v>Faculty of Industrial Technology and System Engineering</v>
      </c>
      <c r="D46" s="9" t="n">
        <f aca="false">VLOOKUP(A46,Publikasi!$A:$G,5,FALSE())</f>
        <v>0.75</v>
      </c>
      <c r="E46" s="9" t="str">
        <f aca="false">VLOOKUP(A46,Publikasi!$A:$G,4,FALSE())</f>
        <v>Social Sciences and Management</v>
      </c>
      <c r="F46" s="9" t="n">
        <f aca="false">VLOOKUP(A46,Publikasi!$A:$G,3,FALSE())</f>
        <v>2019</v>
      </c>
    </row>
    <row r="47" customFormat="false" ht="15" hidden="false" customHeight="false" outlineLevel="0" collapsed="false">
      <c r="A47" s="8" t="s">
        <v>319</v>
      </c>
      <c r="B47" s="8" t="s">
        <v>55</v>
      </c>
      <c r="C47" s="9" t="str">
        <f aca="false">VLOOKUP(B47,Dosen!$A:$D,4,FALSE())</f>
        <v>Faculty of Marine Technology</v>
      </c>
      <c r="D47" s="9" t="n">
        <f aca="false">VLOOKUP(A47,Publikasi!$A:$G,5,FALSE())</f>
        <v>1.9</v>
      </c>
      <c r="E47" s="9" t="str">
        <f aca="false">VLOOKUP(A47,Publikasi!$A:$G,4,FALSE())</f>
        <v>Engineering and Technology</v>
      </c>
      <c r="F47" s="9" t="n">
        <f aca="false">VLOOKUP(A47,Publikasi!$A:$G,3,FALSE())</f>
        <v>2022</v>
      </c>
    </row>
    <row r="48" customFormat="false" ht="15" hidden="false" customHeight="false" outlineLevel="0" collapsed="false">
      <c r="A48" s="8" t="s">
        <v>322</v>
      </c>
      <c r="B48" s="8" t="s">
        <v>55</v>
      </c>
      <c r="C48" s="9" t="str">
        <f aca="false">VLOOKUP(B48,Dosen!$A:$D,4,FALSE())</f>
        <v>Faculty of Marine Technology</v>
      </c>
      <c r="D48" s="9" t="n">
        <f aca="false">VLOOKUP(A48,Publikasi!$A:$G,5,FALSE())</f>
        <v>1.15</v>
      </c>
      <c r="E48" s="9" t="str">
        <f aca="false">VLOOKUP(A48,Publikasi!$A:$G,4,FALSE())</f>
        <v>Engineering and Technology</v>
      </c>
      <c r="F48" s="9" t="n">
        <f aca="false">VLOOKUP(A48,Publikasi!$A:$G,3,FALSE())</f>
        <v>2024</v>
      </c>
    </row>
    <row r="49" customFormat="false" ht="15" hidden="false" customHeight="false" outlineLevel="0" collapsed="false">
      <c r="A49" s="8" t="s">
        <v>324</v>
      </c>
      <c r="B49" s="8" t="s">
        <v>57</v>
      </c>
      <c r="C49" s="9" t="str">
        <f aca="false">VLOOKUP(B49,Dosen!$A:$D,4,FALSE())</f>
        <v>Faculty of Marine Technology</v>
      </c>
      <c r="D49" s="9" t="n">
        <f aca="false">VLOOKUP(A49,Publikasi!$A:$G,5,FALSE())</f>
        <v>0.54</v>
      </c>
      <c r="E49" s="9" t="str">
        <f aca="false">VLOOKUP(A49,Publikasi!$A:$G,4,FALSE())</f>
        <v>Engineering and Technology</v>
      </c>
      <c r="F49" s="9" t="n">
        <f aca="false">VLOOKUP(A49,Publikasi!$A:$G,3,FALSE())</f>
        <v>2025</v>
      </c>
    </row>
    <row r="50" customFormat="false" ht="15" hidden="false" customHeight="false" outlineLevel="0" collapsed="false">
      <c r="A50" s="8" t="s">
        <v>326</v>
      </c>
      <c r="B50" s="8" t="s">
        <v>57</v>
      </c>
      <c r="C50" s="9" t="str">
        <f aca="false">VLOOKUP(B50,Dosen!$A:$D,4,FALSE())</f>
        <v>Faculty of Marine Technology</v>
      </c>
      <c r="D50" s="9" t="n">
        <f aca="false">VLOOKUP(A50,Publikasi!$A:$G,5,FALSE())</f>
        <v>1.57</v>
      </c>
      <c r="E50" s="9" t="str">
        <f aca="false">VLOOKUP(A50,Publikasi!$A:$G,4,FALSE())</f>
        <v>Engineering and Technology</v>
      </c>
      <c r="F50" s="9" t="n">
        <f aca="false">VLOOKUP(A50,Publikasi!$A:$G,3,FALSE())</f>
        <v>2026</v>
      </c>
    </row>
    <row r="51" customFormat="false" ht="15" hidden="false" customHeight="false" outlineLevel="0" collapsed="false">
      <c r="A51" s="8" t="s">
        <v>328</v>
      </c>
      <c r="B51" s="8" t="s">
        <v>57</v>
      </c>
      <c r="C51" s="9" t="str">
        <f aca="false">VLOOKUP(B51,Dosen!$A:$D,4,FALSE())</f>
        <v>Faculty of Marine Technology</v>
      </c>
      <c r="D51" s="9" t="n">
        <f aca="false">VLOOKUP(A51,Publikasi!$A:$G,5,FALSE())</f>
        <v>0.92</v>
      </c>
      <c r="E51" s="9" t="str">
        <f aca="false">VLOOKUP(A51,Publikasi!$A:$G,4,FALSE())</f>
        <v>Social Sciences and Management</v>
      </c>
      <c r="F51" s="9" t="n">
        <f aca="false">VLOOKUP(A51,Publikasi!$A:$G,3,FALSE())</f>
        <v>2025</v>
      </c>
    </row>
    <row r="52" customFormat="false" ht="15" hidden="false" customHeight="false" outlineLevel="0" collapsed="false">
      <c r="A52" s="8" t="s">
        <v>329</v>
      </c>
      <c r="B52" s="8" t="s">
        <v>59</v>
      </c>
      <c r="C52" s="9" t="str">
        <f aca="false">VLOOKUP(B52,Dosen!$A:$D,4,FALSE())</f>
        <v>Faculty of Marine Technology</v>
      </c>
      <c r="D52" s="9" t="n">
        <f aca="false">VLOOKUP(A52,Publikasi!$A:$G,5,FALSE())</f>
        <v>1.58</v>
      </c>
      <c r="E52" s="9" t="str">
        <f aca="false">VLOOKUP(A52,Publikasi!$A:$G,4,FALSE())</f>
        <v>Engineering and Technology</v>
      </c>
      <c r="F52" s="9" t="n">
        <f aca="false">VLOOKUP(A52,Publikasi!$A:$G,3,FALSE())</f>
        <v>2026</v>
      </c>
    </row>
    <row r="53" customFormat="false" ht="15" hidden="false" customHeight="false" outlineLevel="0" collapsed="false">
      <c r="A53" s="8" t="s">
        <v>331</v>
      </c>
      <c r="B53" s="8" t="s">
        <v>61</v>
      </c>
      <c r="C53" s="9" t="str">
        <f aca="false">VLOOKUP(B53,Dosen!$A:$D,4,FALSE())</f>
        <v>Faculty of Marine Technology</v>
      </c>
      <c r="D53" s="9" t="n">
        <f aca="false">VLOOKUP(A53,Publikasi!$A:$G,5,FALSE())</f>
        <v>1.65</v>
      </c>
      <c r="E53" s="9" t="str">
        <f aca="false">VLOOKUP(A53,Publikasi!$A:$G,4,FALSE())</f>
        <v>Engineering and Technology</v>
      </c>
      <c r="F53" s="9" t="n">
        <f aca="false">VLOOKUP(A53,Publikasi!$A:$G,3,FALSE())</f>
        <v>2023</v>
      </c>
    </row>
    <row r="54" customFormat="false" ht="15" hidden="false" customHeight="false" outlineLevel="0" collapsed="false">
      <c r="A54" s="8" t="s">
        <v>333</v>
      </c>
      <c r="B54" s="8" t="s">
        <v>63</v>
      </c>
      <c r="C54" s="9" t="str">
        <f aca="false">VLOOKUP(B54,Dosen!$A:$D,4,FALSE())</f>
        <v>Faculty of Marine Technology</v>
      </c>
      <c r="D54" s="9" t="n">
        <f aca="false">VLOOKUP(A54,Publikasi!$A:$G,5,FALSE())</f>
        <v>0.95</v>
      </c>
      <c r="E54" s="9" t="str">
        <f aca="false">VLOOKUP(A54,Publikasi!$A:$G,4,FALSE())</f>
        <v>Engineering and Technology</v>
      </c>
      <c r="F54" s="9" t="n">
        <f aca="false">VLOOKUP(A54,Publikasi!$A:$G,3,FALSE())</f>
        <v>2026</v>
      </c>
    </row>
    <row r="55" customFormat="false" ht="15" hidden="false" customHeight="false" outlineLevel="0" collapsed="false">
      <c r="A55" s="8" t="s">
        <v>335</v>
      </c>
      <c r="B55" s="8" t="s">
        <v>63</v>
      </c>
      <c r="C55" s="9" t="str">
        <f aca="false">VLOOKUP(B55,Dosen!$A:$D,4,FALSE())</f>
        <v>Faculty of Marine Technology</v>
      </c>
      <c r="D55" s="9" t="n">
        <f aca="false">VLOOKUP(A55,Publikasi!$A:$G,5,FALSE())</f>
        <v>1.95</v>
      </c>
      <c r="E55" s="9" t="str">
        <f aca="false">VLOOKUP(A55,Publikasi!$A:$G,4,FALSE())</f>
        <v>Engineering and Technology</v>
      </c>
      <c r="F55" s="9" t="n">
        <f aca="false">VLOOKUP(A55,Publikasi!$A:$G,3,FALSE())</f>
        <v>2025</v>
      </c>
    </row>
    <row r="56" customFormat="false" ht="15" hidden="false" customHeight="false" outlineLevel="0" collapsed="false">
      <c r="A56" s="8" t="s">
        <v>337</v>
      </c>
      <c r="B56" s="8" t="s">
        <v>65</v>
      </c>
      <c r="C56" s="9" t="str">
        <f aca="false">VLOOKUP(B56,Dosen!$A:$D,4,FALSE())</f>
        <v>Faculty of Marine Technology</v>
      </c>
      <c r="D56" s="9" t="n">
        <f aca="false">VLOOKUP(A56,Publikasi!$A:$G,5,FALSE())</f>
        <v>1.21</v>
      </c>
      <c r="E56" s="9" t="str">
        <f aca="false">VLOOKUP(A56,Publikasi!$A:$G,4,FALSE())</f>
        <v>Engineering and Technology</v>
      </c>
      <c r="F56" s="9" t="n">
        <f aca="false">VLOOKUP(A56,Publikasi!$A:$G,3,FALSE())</f>
        <v>2022</v>
      </c>
    </row>
    <row r="57" customFormat="false" ht="15" hidden="false" customHeight="false" outlineLevel="0" collapsed="false">
      <c r="A57" s="8" t="s">
        <v>339</v>
      </c>
      <c r="B57" s="8" t="s">
        <v>67</v>
      </c>
      <c r="C57" s="9" t="str">
        <f aca="false">VLOOKUP(B57,Dosen!$A:$D,4,FALSE())</f>
        <v>Faculty of Marine Technology</v>
      </c>
      <c r="D57" s="9" t="n">
        <f aca="false">VLOOKUP(A57,Publikasi!$A:$G,5,FALSE())</f>
        <v>1.04</v>
      </c>
      <c r="E57" s="9" t="str">
        <f aca="false">VLOOKUP(A57,Publikasi!$A:$G,4,FALSE())</f>
        <v>Engineering and Technology</v>
      </c>
      <c r="F57" s="9" t="n">
        <f aca="false">VLOOKUP(A57,Publikasi!$A:$G,3,FALSE())</f>
        <v>2024</v>
      </c>
    </row>
    <row r="58" customFormat="false" ht="15" hidden="false" customHeight="false" outlineLevel="0" collapsed="false">
      <c r="A58" s="8" t="s">
        <v>341</v>
      </c>
      <c r="B58" s="8" t="s">
        <v>67</v>
      </c>
      <c r="C58" s="9" t="str">
        <f aca="false">VLOOKUP(B58,Dosen!$A:$D,4,FALSE())</f>
        <v>Faculty of Marine Technology</v>
      </c>
      <c r="D58" s="9" t="n">
        <f aca="false">VLOOKUP(A58,Publikasi!$A:$G,5,FALSE())</f>
        <v>1.53</v>
      </c>
      <c r="E58" s="9" t="str">
        <f aca="false">VLOOKUP(A58,Publikasi!$A:$G,4,FALSE())</f>
        <v>Engineering and Technology</v>
      </c>
      <c r="F58" s="9" t="n">
        <f aca="false">VLOOKUP(A58,Publikasi!$A:$G,3,FALSE())</f>
        <v>2025</v>
      </c>
    </row>
    <row r="59" customFormat="false" ht="15" hidden="false" customHeight="false" outlineLevel="0" collapsed="false">
      <c r="A59" s="8" t="s">
        <v>343</v>
      </c>
      <c r="B59" s="8" t="s">
        <v>69</v>
      </c>
      <c r="C59" s="9" t="str">
        <f aca="false">VLOOKUP(B59,Dosen!$A:$D,4,FALSE())</f>
        <v>Faculty of Marine Technology</v>
      </c>
      <c r="D59" s="9" t="n">
        <f aca="false">VLOOKUP(A59,Publikasi!$A:$G,5,FALSE())</f>
        <v>1.16</v>
      </c>
      <c r="E59" s="9" t="str">
        <f aca="false">VLOOKUP(A59,Publikasi!$A:$G,4,FALSE())</f>
        <v>Natural Sciences</v>
      </c>
      <c r="F59" s="9" t="n">
        <f aca="false">VLOOKUP(A59,Publikasi!$A:$G,3,FALSE())</f>
        <v>2024</v>
      </c>
    </row>
    <row r="60" customFormat="false" ht="15" hidden="false" customHeight="false" outlineLevel="0" collapsed="false">
      <c r="A60" s="8" t="s">
        <v>345</v>
      </c>
      <c r="B60" s="8" t="s">
        <v>69</v>
      </c>
      <c r="C60" s="9" t="str">
        <f aca="false">VLOOKUP(B60,Dosen!$A:$D,4,FALSE())</f>
        <v>Faculty of Marine Technology</v>
      </c>
      <c r="D60" s="9" t="n">
        <f aca="false">VLOOKUP(A60,Publikasi!$A:$G,5,FALSE())</f>
        <v>1.73</v>
      </c>
      <c r="E60" s="9" t="str">
        <f aca="false">VLOOKUP(A60,Publikasi!$A:$G,4,FALSE())</f>
        <v>Life Sciences and Medicine</v>
      </c>
      <c r="F60" s="9" t="n">
        <f aca="false">VLOOKUP(A60,Publikasi!$A:$G,3,FALSE())</f>
        <v>2022</v>
      </c>
    </row>
    <row r="61" customFormat="false" ht="15" hidden="false" customHeight="false" outlineLevel="0" collapsed="false">
      <c r="A61" s="8" t="s">
        <v>347</v>
      </c>
      <c r="B61" s="8" t="s">
        <v>69</v>
      </c>
      <c r="C61" s="9" t="str">
        <f aca="false">VLOOKUP(B61,Dosen!$A:$D,4,FALSE())</f>
        <v>Faculty of Marine Technology</v>
      </c>
      <c r="D61" s="9" t="n">
        <f aca="false">VLOOKUP(A61,Publikasi!$A:$G,5,FALSE())</f>
        <v>0.56</v>
      </c>
      <c r="E61" s="9" t="str">
        <f aca="false">VLOOKUP(A61,Publikasi!$A:$G,4,FALSE())</f>
        <v>Engineering and Technology</v>
      </c>
      <c r="F61" s="9" t="n">
        <f aca="false">VLOOKUP(A61,Publikasi!$A:$G,3,FALSE())</f>
        <v>2026</v>
      </c>
    </row>
    <row r="62" customFormat="false" ht="15" hidden="false" customHeight="false" outlineLevel="0" collapsed="false">
      <c r="A62" s="8" t="s">
        <v>349</v>
      </c>
      <c r="B62" s="8" t="s">
        <v>71</v>
      </c>
      <c r="C62" s="9" t="str">
        <f aca="false">VLOOKUP(B62,Dosen!$A:$D,4,FALSE())</f>
        <v>Faculty of Intelligent Electrical and Informatics Technology</v>
      </c>
      <c r="D62" s="9" t="n">
        <f aca="false">VLOOKUP(A62,Publikasi!$A:$G,5,FALSE())</f>
        <v>1.86</v>
      </c>
      <c r="E62" s="9" t="str">
        <f aca="false">VLOOKUP(A62,Publikasi!$A:$G,4,FALSE())</f>
        <v>Arts and Humanities</v>
      </c>
      <c r="F62" s="9" t="n">
        <f aca="false">VLOOKUP(A62,Publikasi!$A:$G,3,FALSE())</f>
        <v>2026</v>
      </c>
    </row>
    <row r="63" customFormat="false" ht="15" hidden="false" customHeight="false" outlineLevel="0" collapsed="false">
      <c r="A63" s="8" t="s">
        <v>351</v>
      </c>
      <c r="B63" s="8" t="s">
        <v>73</v>
      </c>
      <c r="C63" s="9" t="str">
        <f aca="false">VLOOKUP(B63,Dosen!$A:$D,4,FALSE())</f>
        <v>Faculty of Intelligent Electrical and Informatics Technology</v>
      </c>
      <c r="D63" s="9" t="n">
        <f aca="false">VLOOKUP(A63,Publikasi!$A:$G,5,FALSE())</f>
        <v>0.49</v>
      </c>
      <c r="E63" s="9" t="str">
        <f aca="false">VLOOKUP(A63,Publikasi!$A:$G,4,FALSE())</f>
        <v>Engineering and Technology</v>
      </c>
      <c r="F63" s="9" t="n">
        <f aca="false">VLOOKUP(A63,Publikasi!$A:$G,3,FALSE())</f>
        <v>2024</v>
      </c>
    </row>
    <row r="64" customFormat="false" ht="15" hidden="false" customHeight="false" outlineLevel="0" collapsed="false">
      <c r="A64" s="8" t="s">
        <v>353</v>
      </c>
      <c r="B64" s="8" t="s">
        <v>73</v>
      </c>
      <c r="C64" s="9" t="str">
        <f aca="false">VLOOKUP(B64,Dosen!$A:$D,4,FALSE())</f>
        <v>Faculty of Intelligent Electrical and Informatics Technology</v>
      </c>
      <c r="D64" s="9" t="n">
        <f aca="false">VLOOKUP(A64,Publikasi!$A:$G,5,FALSE())</f>
        <v>0.71</v>
      </c>
      <c r="E64" s="9" t="str">
        <f aca="false">VLOOKUP(A64,Publikasi!$A:$G,4,FALSE())</f>
        <v>Life Sciences and Medicine</v>
      </c>
      <c r="F64" s="9" t="n">
        <f aca="false">VLOOKUP(A64,Publikasi!$A:$G,3,FALSE())</f>
        <v>2024</v>
      </c>
    </row>
    <row r="65" customFormat="false" ht="15" hidden="false" customHeight="false" outlineLevel="0" collapsed="false">
      <c r="A65" s="8" t="s">
        <v>354</v>
      </c>
      <c r="B65" s="8" t="s">
        <v>73</v>
      </c>
      <c r="C65" s="9" t="str">
        <f aca="false">VLOOKUP(B65,Dosen!$A:$D,4,FALSE())</f>
        <v>Faculty of Intelligent Electrical and Informatics Technology</v>
      </c>
      <c r="D65" s="9" t="n">
        <f aca="false">VLOOKUP(A65,Publikasi!$A:$G,5,FALSE())</f>
        <v>0.45</v>
      </c>
      <c r="E65" s="9" t="str">
        <f aca="false">VLOOKUP(A65,Publikasi!$A:$G,4,FALSE())</f>
        <v>Engineering and Technology</v>
      </c>
      <c r="F65" s="9" t="n">
        <f aca="false">VLOOKUP(A65,Publikasi!$A:$G,3,FALSE())</f>
        <v>2023</v>
      </c>
    </row>
    <row r="66" customFormat="false" ht="15" hidden="false" customHeight="false" outlineLevel="0" collapsed="false">
      <c r="A66" s="8" t="s">
        <v>356</v>
      </c>
      <c r="B66" s="8" t="s">
        <v>75</v>
      </c>
      <c r="C66" s="9" t="str">
        <f aca="false">VLOOKUP(B66,Dosen!$A:$D,4,FALSE())</f>
        <v>Faculty of Intelligent Electrical and Informatics Technology</v>
      </c>
      <c r="D66" s="9" t="n">
        <f aca="false">VLOOKUP(A66,Publikasi!$A:$G,5,FALSE())</f>
        <v>1.6</v>
      </c>
      <c r="E66" s="9" t="str">
        <f aca="false">VLOOKUP(A66,Publikasi!$A:$G,4,FALSE())</f>
        <v>Arts and Humanities</v>
      </c>
      <c r="F66" s="9" t="n">
        <f aca="false">VLOOKUP(A66,Publikasi!$A:$G,3,FALSE())</f>
        <v>2022</v>
      </c>
    </row>
    <row r="67" customFormat="false" ht="15" hidden="false" customHeight="false" outlineLevel="0" collapsed="false">
      <c r="A67" s="8" t="s">
        <v>358</v>
      </c>
      <c r="B67" s="8" t="s">
        <v>75</v>
      </c>
      <c r="C67" s="9" t="str">
        <f aca="false">VLOOKUP(B67,Dosen!$A:$D,4,FALSE())</f>
        <v>Faculty of Intelligent Electrical and Informatics Technology</v>
      </c>
      <c r="D67" s="9" t="n">
        <f aca="false">VLOOKUP(A67,Publikasi!$A:$G,5,FALSE())</f>
        <v>1.91</v>
      </c>
      <c r="E67" s="9" t="str">
        <f aca="false">VLOOKUP(A67,Publikasi!$A:$G,4,FALSE())</f>
        <v>Engineering and Technology</v>
      </c>
      <c r="F67" s="9" t="n">
        <f aca="false">VLOOKUP(A67,Publikasi!$A:$G,3,FALSE())</f>
        <v>2023</v>
      </c>
    </row>
    <row r="68" customFormat="false" ht="15" hidden="false" customHeight="false" outlineLevel="0" collapsed="false">
      <c r="A68" s="8" t="s">
        <v>360</v>
      </c>
      <c r="B68" s="8" t="s">
        <v>77</v>
      </c>
      <c r="C68" s="9" t="str">
        <f aca="false">VLOOKUP(B68,Dosen!$A:$D,4,FALSE())</f>
        <v>Faculty of Intelligent Electrical and Informatics Technology</v>
      </c>
      <c r="D68" s="9" t="n">
        <f aca="false">VLOOKUP(A68,Publikasi!$A:$G,5,FALSE())</f>
        <v>1.33</v>
      </c>
      <c r="E68" s="9" t="str">
        <f aca="false">VLOOKUP(A68,Publikasi!$A:$G,4,FALSE())</f>
        <v>Engineering and Technology</v>
      </c>
      <c r="F68" s="9" t="n">
        <f aca="false">VLOOKUP(A68,Publikasi!$A:$G,3,FALSE())</f>
        <v>2024</v>
      </c>
    </row>
    <row r="69" customFormat="false" ht="15" hidden="false" customHeight="false" outlineLevel="0" collapsed="false">
      <c r="A69" s="8" t="s">
        <v>362</v>
      </c>
      <c r="B69" s="8" t="s">
        <v>79</v>
      </c>
      <c r="C69" s="9" t="str">
        <f aca="false">VLOOKUP(B69,Dosen!$A:$D,4,FALSE())</f>
        <v>Faculty of Intelligent Electrical and Informatics Technology</v>
      </c>
      <c r="D69" s="9" t="n">
        <f aca="false">VLOOKUP(A69,Publikasi!$A:$G,5,FALSE())</f>
        <v>1.51</v>
      </c>
      <c r="E69" s="9" t="str">
        <f aca="false">VLOOKUP(A69,Publikasi!$A:$G,4,FALSE())</f>
        <v>Natural Sciences</v>
      </c>
      <c r="F69" s="9" t="n">
        <f aca="false">VLOOKUP(A69,Publikasi!$A:$G,3,FALSE())</f>
        <v>2026</v>
      </c>
    </row>
    <row r="70" customFormat="false" ht="15" hidden="false" customHeight="false" outlineLevel="0" collapsed="false">
      <c r="A70" s="8" t="s">
        <v>364</v>
      </c>
      <c r="B70" s="8" t="s">
        <v>81</v>
      </c>
      <c r="C70" s="9" t="str">
        <f aca="false">VLOOKUP(B70,Dosen!$A:$D,4,FALSE())</f>
        <v>Faculty of Intelligent Electrical and Informatics Technology</v>
      </c>
      <c r="D70" s="9" t="n">
        <f aca="false">VLOOKUP(A70,Publikasi!$A:$G,5,FALSE())</f>
        <v>1.18</v>
      </c>
      <c r="E70" s="9" t="str">
        <f aca="false">VLOOKUP(A70,Publikasi!$A:$G,4,FALSE())</f>
        <v>Engineering and Technology</v>
      </c>
      <c r="F70" s="9" t="n">
        <f aca="false">VLOOKUP(A70,Publikasi!$A:$G,3,FALSE())</f>
        <v>2024</v>
      </c>
    </row>
    <row r="71" customFormat="false" ht="15" hidden="false" customHeight="false" outlineLevel="0" collapsed="false">
      <c r="A71" s="8" t="s">
        <v>366</v>
      </c>
      <c r="B71" s="8" t="s">
        <v>81</v>
      </c>
      <c r="C71" s="9" t="str">
        <f aca="false">VLOOKUP(B71,Dosen!$A:$D,4,FALSE())</f>
        <v>Faculty of Intelligent Electrical and Informatics Technology</v>
      </c>
      <c r="D71" s="9" t="n">
        <f aca="false">VLOOKUP(A71,Publikasi!$A:$G,5,FALSE())</f>
        <v>0.41</v>
      </c>
      <c r="E71" s="9" t="str">
        <f aca="false">VLOOKUP(A71,Publikasi!$A:$G,4,FALSE())</f>
        <v>Engineering and Technology</v>
      </c>
      <c r="F71" s="9" t="n">
        <f aca="false">VLOOKUP(A71,Publikasi!$A:$G,3,FALSE())</f>
        <v>2022</v>
      </c>
    </row>
    <row r="72" customFormat="false" ht="15" hidden="false" customHeight="false" outlineLevel="0" collapsed="false">
      <c r="A72" s="8" t="s">
        <v>368</v>
      </c>
      <c r="B72" s="8" t="s">
        <v>83</v>
      </c>
      <c r="C72" s="9" t="str">
        <f aca="false">VLOOKUP(B72,Dosen!$A:$D,4,FALSE())</f>
        <v>Faculty of Intelligent Electrical and Informatics Technology</v>
      </c>
      <c r="D72" s="9" t="n">
        <f aca="false">VLOOKUP(A72,Publikasi!$A:$G,5,FALSE())</f>
        <v>1.3</v>
      </c>
      <c r="E72" s="9" t="str">
        <f aca="false">VLOOKUP(A72,Publikasi!$A:$G,4,FALSE())</f>
        <v>Engineering and Technology</v>
      </c>
      <c r="F72" s="9" t="n">
        <f aca="false">VLOOKUP(A72,Publikasi!$A:$G,3,FALSE())</f>
        <v>2026</v>
      </c>
    </row>
    <row r="73" customFormat="false" ht="15" hidden="false" customHeight="false" outlineLevel="0" collapsed="false">
      <c r="A73" s="8" t="s">
        <v>370</v>
      </c>
      <c r="B73" s="8" t="s">
        <v>85</v>
      </c>
      <c r="C73" s="9" t="str">
        <f aca="false">VLOOKUP(B73,Dosen!$A:$D,4,FALSE())</f>
        <v>Faculty of Intelligent Electrical and Informatics Technology</v>
      </c>
      <c r="D73" s="9" t="n">
        <f aca="false">VLOOKUP(A73,Publikasi!$A:$G,5,FALSE())</f>
        <v>0.4</v>
      </c>
      <c r="E73" s="9" t="str">
        <f aca="false">VLOOKUP(A73,Publikasi!$A:$G,4,FALSE())</f>
        <v>Engineering and Technology</v>
      </c>
      <c r="F73" s="9" t="n">
        <f aca="false">VLOOKUP(A73,Publikasi!$A:$G,3,FALSE())</f>
        <v>2022</v>
      </c>
    </row>
    <row r="74" customFormat="false" ht="15" hidden="false" customHeight="false" outlineLevel="0" collapsed="false">
      <c r="A74" s="8" t="s">
        <v>372</v>
      </c>
      <c r="B74" s="8" t="s">
        <v>87</v>
      </c>
      <c r="C74" s="9" t="str">
        <f aca="false">VLOOKUP(B74,Dosen!$A:$D,4,FALSE())</f>
        <v>Faculty of Intelligent Electrical and Informatics Technology</v>
      </c>
      <c r="D74" s="9" t="n">
        <f aca="false">VLOOKUP(A74,Publikasi!$A:$G,5,FALSE())</f>
        <v>1.17</v>
      </c>
      <c r="E74" s="9" t="str">
        <f aca="false">VLOOKUP(A74,Publikasi!$A:$G,4,FALSE())</f>
        <v>Engineering and Technology</v>
      </c>
      <c r="F74" s="9" t="n">
        <f aca="false">VLOOKUP(A74,Publikasi!$A:$G,3,FALSE())</f>
        <v>2022</v>
      </c>
    </row>
    <row r="75" customFormat="false" ht="15" hidden="false" customHeight="false" outlineLevel="0" collapsed="false">
      <c r="A75" s="8" t="s">
        <v>374</v>
      </c>
      <c r="B75" s="8" t="s">
        <v>89</v>
      </c>
      <c r="C75" s="9" t="str">
        <f aca="false">VLOOKUP(B75,Dosen!$A:$D,4,FALSE())</f>
        <v>Faculty of Intelligent Electrical and Informatics Technology</v>
      </c>
      <c r="D75" s="9" t="n">
        <f aca="false">VLOOKUP(A75,Publikasi!$A:$G,5,FALSE())</f>
        <v>0.52</v>
      </c>
      <c r="E75" s="9" t="str">
        <f aca="false">VLOOKUP(A75,Publikasi!$A:$G,4,FALSE())</f>
        <v>Engineering and Technology</v>
      </c>
      <c r="F75" s="9" t="n">
        <f aca="false">VLOOKUP(A75,Publikasi!$A:$G,3,FALSE())</f>
        <v>2025</v>
      </c>
    </row>
    <row r="76" customFormat="false" ht="15" hidden="false" customHeight="false" outlineLevel="0" collapsed="false">
      <c r="A76" s="8" t="s">
        <v>376</v>
      </c>
      <c r="B76" s="8" t="s">
        <v>89</v>
      </c>
      <c r="C76" s="9" t="str">
        <f aca="false">VLOOKUP(B76,Dosen!$A:$D,4,FALSE())</f>
        <v>Faculty of Intelligent Electrical and Informatics Technology</v>
      </c>
      <c r="D76" s="9" t="n">
        <f aca="false">VLOOKUP(A76,Publikasi!$A:$G,5,FALSE())</f>
        <v>0.71</v>
      </c>
      <c r="E76" s="9" t="str">
        <f aca="false">VLOOKUP(A76,Publikasi!$A:$G,4,FALSE())</f>
        <v>Engineering and Technology</v>
      </c>
      <c r="F76" s="9" t="n">
        <f aca="false">VLOOKUP(A76,Publikasi!$A:$G,3,FALSE())</f>
        <v>2026</v>
      </c>
    </row>
    <row r="77" customFormat="false" ht="15" hidden="false" customHeight="false" outlineLevel="0" collapsed="false">
      <c r="A77" s="8" t="s">
        <v>378</v>
      </c>
      <c r="B77" s="8" t="s">
        <v>91</v>
      </c>
      <c r="C77" s="9" t="str">
        <f aca="false">VLOOKUP(B77,Dosen!$A:$D,4,FALSE())</f>
        <v>Faculty of Intelligent Electrical and Informatics Technology</v>
      </c>
      <c r="D77" s="9" t="n">
        <f aca="false">VLOOKUP(A77,Publikasi!$A:$G,5,FALSE())</f>
        <v>0.46</v>
      </c>
      <c r="E77" s="9" t="str">
        <f aca="false">VLOOKUP(A77,Publikasi!$A:$G,4,FALSE())</f>
        <v>Engineering and Technology</v>
      </c>
      <c r="F77" s="9" t="n">
        <f aca="false">VLOOKUP(A77,Publikasi!$A:$G,3,FALSE())</f>
        <v>2025</v>
      </c>
    </row>
    <row r="78" customFormat="false" ht="15" hidden="false" customHeight="false" outlineLevel="0" collapsed="false">
      <c r="A78" s="8" t="s">
        <v>380</v>
      </c>
      <c r="B78" s="8" t="s">
        <v>91</v>
      </c>
      <c r="C78" s="9" t="str">
        <f aca="false">VLOOKUP(B78,Dosen!$A:$D,4,FALSE())</f>
        <v>Faculty of Intelligent Electrical and Informatics Technology</v>
      </c>
      <c r="D78" s="9" t="n">
        <f aca="false">VLOOKUP(A78,Publikasi!$A:$G,5,FALSE())</f>
        <v>1</v>
      </c>
      <c r="E78" s="9" t="str">
        <f aca="false">VLOOKUP(A78,Publikasi!$A:$G,4,FALSE())</f>
        <v>Engineering and Technology</v>
      </c>
      <c r="F78" s="9" t="n">
        <f aca="false">VLOOKUP(A78,Publikasi!$A:$G,3,FALSE())</f>
        <v>2025</v>
      </c>
    </row>
    <row r="79" customFormat="false" ht="15" hidden="false" customHeight="false" outlineLevel="0" collapsed="false">
      <c r="A79" s="8" t="s">
        <v>381</v>
      </c>
      <c r="B79" s="8" t="s">
        <v>93</v>
      </c>
      <c r="C79" s="9" t="str">
        <f aca="false">VLOOKUP(B79,Dosen!$A:$D,4,FALSE())</f>
        <v>Faculty of Intelligent Electrical and Informatics Technology</v>
      </c>
      <c r="D79" s="9" t="n">
        <f aca="false">VLOOKUP(A79,Publikasi!$A:$G,5,FALSE())</f>
        <v>1.97</v>
      </c>
      <c r="E79" s="9" t="str">
        <f aca="false">VLOOKUP(A79,Publikasi!$A:$G,4,FALSE())</f>
        <v>Engineering and Technology</v>
      </c>
      <c r="F79" s="9" t="n">
        <f aca="false">VLOOKUP(A79,Publikasi!$A:$G,3,FALSE())</f>
        <v>2022</v>
      </c>
    </row>
    <row r="80" customFormat="false" ht="15" hidden="false" customHeight="false" outlineLevel="0" collapsed="false">
      <c r="A80" s="8" t="s">
        <v>383</v>
      </c>
      <c r="B80" s="8" t="s">
        <v>93</v>
      </c>
      <c r="C80" s="9" t="str">
        <f aca="false">VLOOKUP(B80,Dosen!$A:$D,4,FALSE())</f>
        <v>Faculty of Intelligent Electrical and Informatics Technology</v>
      </c>
      <c r="D80" s="9" t="n">
        <f aca="false">VLOOKUP(A80,Publikasi!$A:$G,5,FALSE())</f>
        <v>1.54</v>
      </c>
      <c r="E80" s="9" t="str">
        <f aca="false">VLOOKUP(A80,Publikasi!$A:$G,4,FALSE())</f>
        <v>Engineering and Technology</v>
      </c>
      <c r="F80" s="9" t="n">
        <f aca="false">VLOOKUP(A80,Publikasi!$A:$G,3,FALSE())</f>
        <v>2022</v>
      </c>
    </row>
    <row r="81" customFormat="false" ht="15" hidden="false" customHeight="false" outlineLevel="0" collapsed="false">
      <c r="A81" s="8" t="s">
        <v>384</v>
      </c>
      <c r="B81" s="8" t="s">
        <v>93</v>
      </c>
      <c r="C81" s="9" t="str">
        <f aca="false">VLOOKUP(B81,Dosen!$A:$D,4,FALSE())</f>
        <v>Faculty of Intelligent Electrical and Informatics Technology</v>
      </c>
      <c r="D81" s="9" t="n">
        <f aca="false">VLOOKUP(A81,Publikasi!$A:$G,5,FALSE())</f>
        <v>0.62</v>
      </c>
      <c r="E81" s="9" t="str">
        <f aca="false">VLOOKUP(A81,Publikasi!$A:$G,4,FALSE())</f>
        <v>Engineering and Technology</v>
      </c>
      <c r="F81" s="9" t="n">
        <f aca="false">VLOOKUP(A81,Publikasi!$A:$G,3,FALSE())</f>
        <v>2022</v>
      </c>
    </row>
    <row r="82" customFormat="false" ht="15" hidden="false" customHeight="false" outlineLevel="0" collapsed="false">
      <c r="A82" s="8" t="s">
        <v>385</v>
      </c>
      <c r="B82" s="8" t="s">
        <v>95</v>
      </c>
      <c r="C82" s="9" t="str">
        <f aca="false">VLOOKUP(B82,Dosen!$A:$D,4,FALSE())</f>
        <v>Faculty of Civil, Planning, and Geo-Engineering</v>
      </c>
      <c r="D82" s="9" t="n">
        <f aca="false">VLOOKUP(A82,Publikasi!$A:$G,5,FALSE())</f>
        <v>0.77</v>
      </c>
      <c r="E82" s="9" t="str">
        <f aca="false">VLOOKUP(A82,Publikasi!$A:$G,4,FALSE())</f>
        <v>Engineering and Technology</v>
      </c>
      <c r="F82" s="9" t="n">
        <f aca="false">VLOOKUP(A82,Publikasi!$A:$G,3,FALSE())</f>
        <v>2023</v>
      </c>
    </row>
    <row r="83" customFormat="false" ht="15" hidden="false" customHeight="false" outlineLevel="0" collapsed="false">
      <c r="A83" s="8" t="s">
        <v>387</v>
      </c>
      <c r="B83" s="8" t="s">
        <v>95</v>
      </c>
      <c r="C83" s="9" t="str">
        <f aca="false">VLOOKUP(B83,Dosen!$A:$D,4,FALSE())</f>
        <v>Faculty of Civil, Planning, and Geo-Engineering</v>
      </c>
      <c r="D83" s="9" t="n">
        <f aca="false">VLOOKUP(A83,Publikasi!$A:$G,5,FALSE())</f>
        <v>1.05</v>
      </c>
      <c r="E83" s="9" t="str">
        <f aca="false">VLOOKUP(A83,Publikasi!$A:$G,4,FALSE())</f>
        <v>Engineering and Technology</v>
      </c>
      <c r="F83" s="9" t="n">
        <f aca="false">VLOOKUP(A83,Publikasi!$A:$G,3,FALSE())</f>
        <v>2023</v>
      </c>
    </row>
    <row r="84" customFormat="false" ht="15" hidden="false" customHeight="false" outlineLevel="0" collapsed="false">
      <c r="A84" s="8" t="s">
        <v>388</v>
      </c>
      <c r="B84" s="8" t="s">
        <v>97</v>
      </c>
      <c r="C84" s="9" t="str">
        <f aca="false">VLOOKUP(B84,Dosen!$A:$D,4,FALSE())</f>
        <v>Faculty of Civil, Planning, and Geo-Engineering</v>
      </c>
      <c r="D84" s="9" t="n">
        <f aca="false">VLOOKUP(A84,Publikasi!$A:$G,5,FALSE())</f>
        <v>2</v>
      </c>
      <c r="E84" s="9" t="str">
        <f aca="false">VLOOKUP(A84,Publikasi!$A:$G,4,FALSE())</f>
        <v>Engineering and Technology</v>
      </c>
      <c r="F84" s="9" t="n">
        <f aca="false">VLOOKUP(A84,Publikasi!$A:$G,3,FALSE())</f>
        <v>2022</v>
      </c>
    </row>
    <row r="85" customFormat="false" ht="15" hidden="false" customHeight="false" outlineLevel="0" collapsed="false">
      <c r="A85" s="8" t="s">
        <v>390</v>
      </c>
      <c r="B85" s="8" t="s">
        <v>97</v>
      </c>
      <c r="C85" s="9" t="str">
        <f aca="false">VLOOKUP(B85,Dosen!$A:$D,4,FALSE())</f>
        <v>Faculty of Civil, Planning, and Geo-Engineering</v>
      </c>
      <c r="D85" s="9" t="n">
        <f aca="false">VLOOKUP(A85,Publikasi!$A:$G,5,FALSE())</f>
        <v>0.58</v>
      </c>
      <c r="E85" s="9" t="str">
        <f aca="false">VLOOKUP(A85,Publikasi!$A:$G,4,FALSE())</f>
        <v>Natural Sciences</v>
      </c>
      <c r="F85" s="9" t="n">
        <f aca="false">VLOOKUP(A85,Publikasi!$A:$G,3,FALSE())</f>
        <v>2022</v>
      </c>
    </row>
    <row r="86" customFormat="false" ht="15" hidden="false" customHeight="false" outlineLevel="0" collapsed="false">
      <c r="A86" s="8" t="s">
        <v>391</v>
      </c>
      <c r="B86" s="8" t="s">
        <v>97</v>
      </c>
      <c r="C86" s="9" t="str">
        <f aca="false">VLOOKUP(B86,Dosen!$A:$D,4,FALSE())</f>
        <v>Faculty of Civil, Planning, and Geo-Engineering</v>
      </c>
      <c r="D86" s="9" t="n">
        <f aca="false">VLOOKUP(A86,Publikasi!$A:$G,5,FALSE())</f>
        <v>1.77</v>
      </c>
      <c r="E86" s="9" t="str">
        <f aca="false">VLOOKUP(A86,Publikasi!$A:$G,4,FALSE())</f>
        <v>Engineering and Technology</v>
      </c>
      <c r="F86" s="9" t="n">
        <f aca="false">VLOOKUP(A86,Publikasi!$A:$G,3,FALSE())</f>
        <v>2025</v>
      </c>
    </row>
    <row r="87" customFormat="false" ht="15" hidden="false" customHeight="false" outlineLevel="0" collapsed="false">
      <c r="A87" s="8" t="s">
        <v>393</v>
      </c>
      <c r="B87" s="8" t="s">
        <v>99</v>
      </c>
      <c r="C87" s="9" t="str">
        <f aca="false">VLOOKUP(B87,Dosen!$A:$D,4,FALSE())</f>
        <v>Faculty of Civil, Planning, and Geo-Engineering</v>
      </c>
      <c r="D87" s="9" t="n">
        <f aca="false">VLOOKUP(A87,Publikasi!$A:$G,5,FALSE())</f>
        <v>1.98</v>
      </c>
      <c r="E87" s="9" t="str">
        <f aca="false">VLOOKUP(A87,Publikasi!$A:$G,4,FALSE())</f>
        <v>Engineering and Technology</v>
      </c>
      <c r="F87" s="9" t="n">
        <f aca="false">VLOOKUP(A87,Publikasi!$A:$G,3,FALSE())</f>
        <v>2023</v>
      </c>
    </row>
    <row r="88" customFormat="false" ht="15" hidden="false" customHeight="false" outlineLevel="0" collapsed="false">
      <c r="A88" s="8" t="s">
        <v>395</v>
      </c>
      <c r="B88" s="8" t="s">
        <v>101</v>
      </c>
      <c r="C88" s="9" t="str">
        <f aca="false">VLOOKUP(B88,Dosen!$A:$D,4,FALSE())</f>
        <v>Faculty of Civil, Planning, and Geo-Engineering</v>
      </c>
      <c r="D88" s="9" t="n">
        <f aca="false">VLOOKUP(A88,Publikasi!$A:$G,5,FALSE())</f>
        <v>1.48</v>
      </c>
      <c r="E88" s="9" t="str">
        <f aca="false">VLOOKUP(A88,Publikasi!$A:$G,4,FALSE())</f>
        <v>Engineering and Technology</v>
      </c>
      <c r="F88" s="9" t="n">
        <f aca="false">VLOOKUP(A88,Publikasi!$A:$G,3,FALSE())</f>
        <v>2025</v>
      </c>
    </row>
    <row r="89" customFormat="false" ht="15" hidden="false" customHeight="false" outlineLevel="0" collapsed="false">
      <c r="A89" s="8" t="s">
        <v>397</v>
      </c>
      <c r="B89" s="8" t="s">
        <v>101</v>
      </c>
      <c r="C89" s="9" t="str">
        <f aca="false">VLOOKUP(B89,Dosen!$A:$D,4,FALSE())</f>
        <v>Faculty of Civil, Planning, and Geo-Engineering</v>
      </c>
      <c r="D89" s="9" t="n">
        <f aca="false">VLOOKUP(A89,Publikasi!$A:$G,5,FALSE())</f>
        <v>1.13</v>
      </c>
      <c r="E89" s="9" t="str">
        <f aca="false">VLOOKUP(A89,Publikasi!$A:$G,4,FALSE())</f>
        <v>Engineering and Technology</v>
      </c>
      <c r="F89" s="9" t="n">
        <f aca="false">VLOOKUP(A89,Publikasi!$A:$G,3,FALSE())</f>
        <v>2026</v>
      </c>
    </row>
    <row r="90" customFormat="false" ht="15" hidden="false" customHeight="false" outlineLevel="0" collapsed="false">
      <c r="A90" s="8" t="s">
        <v>399</v>
      </c>
      <c r="B90" s="8" t="s">
        <v>103</v>
      </c>
      <c r="C90" s="9" t="str">
        <f aca="false">VLOOKUP(B90,Dosen!$A:$D,4,FALSE())</f>
        <v>Faculty of Industrial Technology and System Engineering</v>
      </c>
      <c r="D90" s="9" t="n">
        <f aca="false">VLOOKUP(A90,Publikasi!$A:$G,5,FALSE())</f>
        <v>0.4</v>
      </c>
      <c r="E90" s="9" t="str">
        <f aca="false">VLOOKUP(A90,Publikasi!$A:$G,4,FALSE())</f>
        <v>Engineering and Technology</v>
      </c>
      <c r="F90" s="9" t="n">
        <f aca="false">VLOOKUP(A90,Publikasi!$A:$G,3,FALSE())</f>
        <v>2024</v>
      </c>
    </row>
    <row r="91" customFormat="false" ht="15" hidden="false" customHeight="false" outlineLevel="0" collapsed="false">
      <c r="A91" s="8" t="s">
        <v>401</v>
      </c>
      <c r="B91" s="8" t="s">
        <v>105</v>
      </c>
      <c r="C91" s="9" t="str">
        <f aca="false">VLOOKUP(B91,Dosen!$A:$D,4,FALSE())</f>
        <v>Faculty of Industrial Technology and System Engineering</v>
      </c>
      <c r="D91" s="9" t="n">
        <f aca="false">VLOOKUP(A91,Publikasi!$A:$G,5,FALSE())</f>
        <v>0.83</v>
      </c>
      <c r="E91" s="9" t="str">
        <f aca="false">VLOOKUP(A91,Publikasi!$A:$G,4,FALSE())</f>
        <v>Engineering and Technology</v>
      </c>
      <c r="F91" s="9" t="n">
        <f aca="false">VLOOKUP(A91,Publikasi!$A:$G,3,FALSE())</f>
        <v>2026</v>
      </c>
    </row>
    <row r="92" customFormat="false" ht="15" hidden="false" customHeight="false" outlineLevel="0" collapsed="false">
      <c r="A92" s="8" t="s">
        <v>403</v>
      </c>
      <c r="B92" s="8" t="s">
        <v>105</v>
      </c>
      <c r="C92" s="9" t="str">
        <f aca="false">VLOOKUP(B92,Dosen!$A:$D,4,FALSE())</f>
        <v>Faculty of Industrial Technology and System Engineering</v>
      </c>
      <c r="D92" s="9" t="n">
        <f aca="false">VLOOKUP(A92,Publikasi!$A:$G,5,FALSE())</f>
        <v>1.15</v>
      </c>
      <c r="E92" s="9" t="str">
        <f aca="false">VLOOKUP(A92,Publikasi!$A:$G,4,FALSE())</f>
        <v>Engineering and Technology</v>
      </c>
      <c r="F92" s="9" t="n">
        <f aca="false">VLOOKUP(A92,Publikasi!$A:$G,3,FALSE())</f>
        <v>2022</v>
      </c>
    </row>
    <row r="93" customFormat="false" ht="15" hidden="false" customHeight="false" outlineLevel="0" collapsed="false">
      <c r="A93" s="8" t="s">
        <v>405</v>
      </c>
      <c r="B93" s="8" t="s">
        <v>105</v>
      </c>
      <c r="C93" s="9" t="str">
        <f aca="false">VLOOKUP(B93,Dosen!$A:$D,4,FALSE())</f>
        <v>Faculty of Industrial Technology and System Engineering</v>
      </c>
      <c r="D93" s="9" t="n">
        <f aca="false">VLOOKUP(A93,Publikasi!$A:$G,5,FALSE())</f>
        <v>1.93</v>
      </c>
      <c r="E93" s="9" t="str">
        <f aca="false">VLOOKUP(A93,Publikasi!$A:$G,4,FALSE())</f>
        <v>Engineering and Technology</v>
      </c>
      <c r="F93" s="9" t="n">
        <f aca="false">VLOOKUP(A93,Publikasi!$A:$G,3,FALSE())</f>
        <v>2026</v>
      </c>
    </row>
    <row r="94" customFormat="false" ht="15" hidden="false" customHeight="false" outlineLevel="0" collapsed="false">
      <c r="A94" s="8" t="s">
        <v>406</v>
      </c>
      <c r="B94" s="8" t="s">
        <v>107</v>
      </c>
      <c r="C94" s="9" t="str">
        <f aca="false">VLOOKUP(B94,Dosen!$A:$D,4,FALSE())</f>
        <v>Faculty of Industrial Technology and System Engineering</v>
      </c>
      <c r="D94" s="9" t="n">
        <f aca="false">VLOOKUP(A94,Publikasi!$A:$G,5,FALSE())</f>
        <v>0.42</v>
      </c>
      <c r="E94" s="9" t="str">
        <f aca="false">VLOOKUP(A94,Publikasi!$A:$G,4,FALSE())</f>
        <v>Engineering and Technology</v>
      </c>
      <c r="F94" s="9" t="n">
        <f aca="false">VLOOKUP(A94,Publikasi!$A:$G,3,FALSE())</f>
        <v>2023</v>
      </c>
    </row>
    <row r="95" customFormat="false" ht="15" hidden="false" customHeight="false" outlineLevel="0" collapsed="false">
      <c r="A95" s="8" t="s">
        <v>408</v>
      </c>
      <c r="B95" s="8" t="s">
        <v>109</v>
      </c>
      <c r="C95" s="9" t="str">
        <f aca="false">VLOOKUP(B95,Dosen!$A:$D,4,FALSE())</f>
        <v>Faculty of Industrial Technology and System Engineering</v>
      </c>
      <c r="D95" s="9" t="n">
        <f aca="false">VLOOKUP(A95,Publikasi!$A:$G,5,FALSE())</f>
        <v>1.81</v>
      </c>
      <c r="E95" s="9" t="str">
        <f aca="false">VLOOKUP(A95,Publikasi!$A:$G,4,FALSE())</f>
        <v>Engineering and Technology</v>
      </c>
      <c r="F95" s="9" t="n">
        <f aca="false">VLOOKUP(A95,Publikasi!$A:$G,3,FALSE())</f>
        <v>2025</v>
      </c>
    </row>
    <row r="96" customFormat="false" ht="15" hidden="false" customHeight="false" outlineLevel="0" collapsed="false">
      <c r="A96" s="8" t="s">
        <v>410</v>
      </c>
      <c r="B96" s="8" t="s">
        <v>111</v>
      </c>
      <c r="C96" s="9" t="str">
        <f aca="false">VLOOKUP(B96,Dosen!$A:$D,4,FALSE())</f>
        <v>Faculty of Creative Design and Digital Business</v>
      </c>
      <c r="D96" s="9" t="n">
        <f aca="false">VLOOKUP(A96,Publikasi!$A:$G,5,FALSE())</f>
        <v>1.35</v>
      </c>
      <c r="E96" s="9" t="str">
        <f aca="false">VLOOKUP(A96,Publikasi!$A:$G,4,FALSE())</f>
        <v>Arts and Humanities</v>
      </c>
      <c r="F96" s="9" t="n">
        <f aca="false">VLOOKUP(A96,Publikasi!$A:$G,3,FALSE())</f>
        <v>2026</v>
      </c>
    </row>
    <row r="97" customFormat="false" ht="15" hidden="false" customHeight="false" outlineLevel="0" collapsed="false">
      <c r="A97" s="8" t="s">
        <v>412</v>
      </c>
      <c r="B97" s="8" t="s">
        <v>113</v>
      </c>
      <c r="C97" s="9" t="str">
        <f aca="false">VLOOKUP(B97,Dosen!$A:$D,4,FALSE())</f>
        <v>Faculty of Creative Design and Digital Business</v>
      </c>
      <c r="D97" s="9" t="n">
        <f aca="false">VLOOKUP(A97,Publikasi!$A:$G,5,FALSE())</f>
        <v>0.84</v>
      </c>
      <c r="E97" s="9" t="str">
        <f aca="false">VLOOKUP(A97,Publikasi!$A:$G,4,FALSE())</f>
        <v>Arts and Humanities</v>
      </c>
      <c r="F97" s="9" t="n">
        <f aca="false">VLOOKUP(A97,Publikasi!$A:$G,3,FALSE())</f>
        <v>2026</v>
      </c>
    </row>
    <row r="98" customFormat="false" ht="15" hidden="false" customHeight="false" outlineLevel="0" collapsed="false">
      <c r="A98" s="8" t="s">
        <v>414</v>
      </c>
      <c r="B98" s="8" t="s">
        <v>113</v>
      </c>
      <c r="C98" s="9" t="str">
        <f aca="false">VLOOKUP(B98,Dosen!$A:$D,4,FALSE())</f>
        <v>Faculty of Creative Design and Digital Business</v>
      </c>
      <c r="D98" s="9" t="n">
        <f aca="false">VLOOKUP(A98,Publikasi!$A:$G,5,FALSE())</f>
        <v>1.52</v>
      </c>
      <c r="E98" s="9" t="str">
        <f aca="false">VLOOKUP(A98,Publikasi!$A:$G,4,FALSE())</f>
        <v>Arts and Humanities</v>
      </c>
      <c r="F98" s="9" t="n">
        <f aca="false">VLOOKUP(A98,Publikasi!$A:$G,3,FALSE())</f>
        <v>2024</v>
      </c>
    </row>
    <row r="99" customFormat="false" ht="15" hidden="false" customHeight="false" outlineLevel="0" collapsed="false">
      <c r="A99" s="8" t="s">
        <v>416</v>
      </c>
      <c r="B99" s="8" t="s">
        <v>115</v>
      </c>
      <c r="C99" s="9" t="str">
        <f aca="false">VLOOKUP(B99,Dosen!$A:$D,4,FALSE())</f>
        <v>Faculty of Creative Design and Digital Business</v>
      </c>
      <c r="D99" s="9" t="n">
        <f aca="false">VLOOKUP(A99,Publikasi!$A:$G,5,FALSE())</f>
        <v>1.44</v>
      </c>
      <c r="E99" s="9" t="str">
        <f aca="false">VLOOKUP(A99,Publikasi!$A:$G,4,FALSE())</f>
        <v>Arts and Humanities</v>
      </c>
      <c r="F99" s="9" t="n">
        <f aca="false">VLOOKUP(A99,Publikasi!$A:$G,3,FALSE())</f>
        <v>2024</v>
      </c>
    </row>
    <row r="100" customFormat="false" ht="15" hidden="false" customHeight="false" outlineLevel="0" collapsed="false">
      <c r="A100" s="8" t="s">
        <v>418</v>
      </c>
      <c r="B100" s="8" t="s">
        <v>117</v>
      </c>
      <c r="C100" s="9" t="str">
        <f aca="false">VLOOKUP(B100,Dosen!$A:$D,4,FALSE())</f>
        <v>Faculty of Creative Design and Digital Business</v>
      </c>
      <c r="D100" s="9" t="n">
        <f aca="false">VLOOKUP(A100,Publikasi!$A:$G,5,FALSE())</f>
        <v>1.58</v>
      </c>
      <c r="E100" s="9" t="str">
        <f aca="false">VLOOKUP(A100,Publikasi!$A:$G,4,FALSE())</f>
        <v>Arts and Humanities</v>
      </c>
      <c r="F100" s="9" t="n">
        <f aca="false">VLOOKUP(A100,Publikasi!$A:$G,3,FALSE())</f>
        <v>2025</v>
      </c>
    </row>
    <row r="101" customFormat="false" ht="15" hidden="false" customHeight="false" outlineLevel="0" collapsed="false">
      <c r="A101" s="8" t="s">
        <v>420</v>
      </c>
      <c r="B101" s="8" t="s">
        <v>117</v>
      </c>
      <c r="C101" s="9" t="str">
        <f aca="false">VLOOKUP(B101,Dosen!$A:$D,4,FALSE())</f>
        <v>Faculty of Creative Design and Digital Business</v>
      </c>
      <c r="D101" s="9" t="n">
        <f aca="false">VLOOKUP(A101,Publikasi!$A:$G,5,FALSE())</f>
        <v>1.36</v>
      </c>
      <c r="E101" s="9" t="str">
        <f aca="false">VLOOKUP(A101,Publikasi!$A:$G,4,FALSE())</f>
        <v>Arts and Humanities</v>
      </c>
      <c r="F101" s="9" t="n">
        <f aca="false">VLOOKUP(A101,Publikasi!$A:$G,3,FALSE())</f>
        <v>2022</v>
      </c>
    </row>
    <row r="102" customFormat="false" ht="15" hidden="false" customHeight="false" outlineLevel="0" collapsed="false">
      <c r="A102" s="8" t="s">
        <v>422</v>
      </c>
      <c r="B102" s="8" t="s">
        <v>119</v>
      </c>
      <c r="C102" s="9" t="str">
        <f aca="false">VLOOKUP(B102,Dosen!$A:$D,4,FALSE())</f>
        <v>Faculty of Medicine and Health</v>
      </c>
      <c r="D102" s="9" t="n">
        <f aca="false">VLOOKUP(A102,Publikasi!$A:$G,5,FALSE())</f>
        <v>0.66</v>
      </c>
      <c r="E102" s="9" t="str">
        <f aca="false">VLOOKUP(A102,Publikasi!$A:$G,4,FALSE())</f>
        <v>Life Sciences and Medicine</v>
      </c>
      <c r="F102" s="9" t="n">
        <f aca="false">VLOOKUP(A102,Publikasi!$A:$G,3,FALSE())</f>
        <v>2022</v>
      </c>
    </row>
    <row r="103" customFormat="false" ht="15" hidden="false" customHeight="false" outlineLevel="0" collapsed="false">
      <c r="A103" s="8" t="s">
        <v>424</v>
      </c>
      <c r="B103" s="8" t="s">
        <v>119</v>
      </c>
      <c r="C103" s="9" t="str">
        <f aca="false">VLOOKUP(B103,Dosen!$A:$D,4,FALSE())</f>
        <v>Faculty of Medicine and Health</v>
      </c>
      <c r="D103" s="9" t="n">
        <f aca="false">VLOOKUP(A103,Publikasi!$A:$G,5,FALSE())</f>
        <v>0.89</v>
      </c>
      <c r="E103" s="9" t="str">
        <f aca="false">VLOOKUP(A103,Publikasi!$A:$G,4,FALSE())</f>
        <v>Life Sciences and Medicine</v>
      </c>
      <c r="F103" s="9" t="n">
        <f aca="false">VLOOKUP(A103,Publikasi!$A:$G,3,FALSE())</f>
        <v>2024</v>
      </c>
    </row>
    <row r="104" customFormat="false" ht="15" hidden="false" customHeight="false" outlineLevel="0" collapsed="false">
      <c r="A104" s="8" t="s">
        <v>426</v>
      </c>
      <c r="B104" s="8" t="s">
        <v>119</v>
      </c>
      <c r="C104" s="9" t="str">
        <f aca="false">VLOOKUP(B104,Dosen!$A:$D,4,FALSE())</f>
        <v>Faculty of Medicine and Health</v>
      </c>
      <c r="D104" s="9" t="n">
        <f aca="false">VLOOKUP(A104,Publikasi!$A:$G,5,FALSE())</f>
        <v>0.78</v>
      </c>
      <c r="E104" s="9" t="str">
        <f aca="false">VLOOKUP(A104,Publikasi!$A:$G,4,FALSE())</f>
        <v>Life Sciences and Medicine</v>
      </c>
      <c r="F104" s="9" t="n">
        <f aca="false">VLOOKUP(A104,Publikasi!$A:$G,3,FALSE())</f>
        <v>2022</v>
      </c>
    </row>
    <row r="105" customFormat="false" ht="15" hidden="false" customHeight="false" outlineLevel="0" collapsed="false">
      <c r="A105" s="8" t="s">
        <v>427</v>
      </c>
      <c r="B105" s="8" t="s">
        <v>121</v>
      </c>
      <c r="C105" s="9" t="str">
        <f aca="false">VLOOKUP(B105,Dosen!$A:$D,4,FALSE())</f>
        <v>Faculty of Medicine and Health</v>
      </c>
      <c r="D105" s="9" t="n">
        <f aca="false">VLOOKUP(A105,Publikasi!$A:$G,5,FALSE())</f>
        <v>1.34</v>
      </c>
      <c r="E105" s="9" t="str">
        <f aca="false">VLOOKUP(A105,Publikasi!$A:$G,4,FALSE())</f>
        <v>Life Sciences and Medicine</v>
      </c>
      <c r="F105" s="9" t="n">
        <f aca="false">VLOOKUP(A105,Publikasi!$A:$G,3,FALSE())</f>
        <v>2026</v>
      </c>
    </row>
    <row r="106" customFormat="false" ht="15" hidden="false" customHeight="false" outlineLevel="0" collapsed="false">
      <c r="A106" s="8" t="s">
        <v>429</v>
      </c>
      <c r="B106" s="8" t="s">
        <v>121</v>
      </c>
      <c r="C106" s="9" t="str">
        <f aca="false">VLOOKUP(B106,Dosen!$A:$D,4,FALSE())</f>
        <v>Faculty of Medicine and Health</v>
      </c>
      <c r="D106" s="9" t="n">
        <f aca="false">VLOOKUP(A106,Publikasi!$A:$G,5,FALSE())</f>
        <v>1.69</v>
      </c>
      <c r="E106" s="9" t="str">
        <f aca="false">VLOOKUP(A106,Publikasi!$A:$G,4,FALSE())</f>
        <v>Life Sciences and Medicine</v>
      </c>
      <c r="F106" s="9" t="n">
        <f aca="false">VLOOKUP(A106,Publikasi!$A:$G,3,FALSE())</f>
        <v>2026</v>
      </c>
    </row>
    <row r="107" customFormat="false" ht="15" hidden="false" customHeight="false" outlineLevel="0" collapsed="false">
      <c r="A107" s="8" t="s">
        <v>430</v>
      </c>
      <c r="B107" s="8" t="s">
        <v>123</v>
      </c>
      <c r="C107" s="9" t="str">
        <f aca="false">VLOOKUP(B107,Dosen!$A:$D,4,FALSE())</f>
        <v>Faculty of Medicine and Health</v>
      </c>
      <c r="D107" s="9" t="n">
        <f aca="false">VLOOKUP(A107,Publikasi!$A:$G,5,FALSE())</f>
        <v>0.75</v>
      </c>
      <c r="E107" s="9" t="str">
        <f aca="false">VLOOKUP(A107,Publikasi!$A:$G,4,FALSE())</f>
        <v>Natural Sciences</v>
      </c>
      <c r="F107" s="9" t="n">
        <f aca="false">VLOOKUP(A107,Publikasi!$A:$G,3,FALSE())</f>
        <v>2022</v>
      </c>
    </row>
    <row r="108" customFormat="false" ht="15" hidden="false" customHeight="false" outlineLevel="0" collapsed="false">
      <c r="A108" s="8" t="s">
        <v>432</v>
      </c>
      <c r="B108" s="8" t="s">
        <v>123</v>
      </c>
      <c r="C108" s="9" t="str">
        <f aca="false">VLOOKUP(B108,Dosen!$A:$D,4,FALSE())</f>
        <v>Faculty of Medicine and Health</v>
      </c>
      <c r="D108" s="9" t="n">
        <f aca="false">VLOOKUP(A108,Publikasi!$A:$G,5,FALSE())</f>
        <v>0.56</v>
      </c>
      <c r="E108" s="9" t="str">
        <f aca="false">VLOOKUP(A108,Publikasi!$A:$G,4,FALSE())</f>
        <v>Life Sciences and Medicine</v>
      </c>
      <c r="F108" s="9" t="n">
        <f aca="false">VLOOKUP(A108,Publikasi!$A:$G,3,FALSE())</f>
        <v>2022</v>
      </c>
    </row>
    <row r="109" customFormat="false" ht="15" hidden="false" customHeight="false" outlineLevel="0" collapsed="false">
      <c r="A109" s="8" t="s">
        <v>433</v>
      </c>
      <c r="B109" s="8" t="s">
        <v>125</v>
      </c>
      <c r="C109" s="9" t="str">
        <f aca="false">VLOOKUP(B109,Dosen!$A:$D,4,FALSE())</f>
        <v>Faculty of Medicine and Health</v>
      </c>
      <c r="D109" s="9" t="n">
        <f aca="false">VLOOKUP(A109,Publikasi!$A:$G,5,FALSE())</f>
        <v>0.88</v>
      </c>
      <c r="E109" s="9" t="str">
        <f aca="false">VLOOKUP(A109,Publikasi!$A:$G,4,FALSE())</f>
        <v>Life Sciences and Medicine</v>
      </c>
      <c r="F109" s="9" t="n">
        <f aca="false">VLOOKUP(A109,Publikasi!$A:$G,3,FALSE())</f>
        <v>2026</v>
      </c>
    </row>
    <row r="110" customFormat="false" ht="15" hidden="false" customHeight="false" outlineLevel="0" collapsed="false">
      <c r="A110" s="8" t="s">
        <v>435</v>
      </c>
      <c r="B110" s="8" t="s">
        <v>125</v>
      </c>
      <c r="C110" s="9" t="str">
        <f aca="false">VLOOKUP(B110,Dosen!$A:$D,4,FALSE())</f>
        <v>Faculty of Medicine and Health</v>
      </c>
      <c r="D110" s="9" t="n">
        <f aca="false">VLOOKUP(A110,Publikasi!$A:$G,5,FALSE())</f>
        <v>0.73</v>
      </c>
      <c r="E110" s="9" t="str">
        <f aca="false">VLOOKUP(A110,Publikasi!$A:$G,4,FALSE())</f>
        <v>Life Sciences and Medicine</v>
      </c>
      <c r="F110" s="9" t="n">
        <f aca="false">VLOOKUP(A110,Publikasi!$A:$G,3,FALSE())</f>
        <v>2024</v>
      </c>
    </row>
    <row r="111" customFormat="false" ht="15" hidden="false" customHeight="false" outlineLevel="0" collapsed="false">
      <c r="A111" s="8" t="s">
        <v>437</v>
      </c>
      <c r="B111" s="8" t="s">
        <v>127</v>
      </c>
      <c r="C111" s="9" t="str">
        <f aca="false">VLOOKUP(B111,Dosen!$A:$D,4,FALSE())</f>
        <v>Faculty of Science and Data Analytics</v>
      </c>
      <c r="D111" s="9" t="n">
        <f aca="false">VLOOKUP(A111,Publikasi!$A:$G,5,FALSE())</f>
        <v>1.71</v>
      </c>
      <c r="E111" s="9" t="str">
        <f aca="false">VLOOKUP(A111,Publikasi!$A:$G,4,FALSE())</f>
        <v>Natural Sciences</v>
      </c>
      <c r="F111" s="9" t="n">
        <f aca="false">VLOOKUP(A111,Publikasi!$A:$G,3,FALSE())</f>
        <v>2022</v>
      </c>
    </row>
    <row r="112" customFormat="false" ht="15" hidden="false" customHeight="false" outlineLevel="0" collapsed="false">
      <c r="A112" s="8" t="s">
        <v>439</v>
      </c>
      <c r="B112" s="8" t="s">
        <v>129</v>
      </c>
      <c r="C112" s="9" t="str">
        <f aca="false">VLOOKUP(B112,Dosen!$A:$D,4,FALSE())</f>
        <v>Faculty of Science and Data Analytics</v>
      </c>
      <c r="D112" s="9" t="n">
        <f aca="false">VLOOKUP(A112,Publikasi!$A:$G,5,FALSE())</f>
        <v>0.52</v>
      </c>
      <c r="E112" s="9" t="str">
        <f aca="false">VLOOKUP(A112,Publikasi!$A:$G,4,FALSE())</f>
        <v>Natural Sciences</v>
      </c>
      <c r="F112" s="9" t="n">
        <f aca="false">VLOOKUP(A112,Publikasi!$A:$G,3,FALSE())</f>
        <v>2022</v>
      </c>
    </row>
    <row r="113" customFormat="false" ht="15" hidden="false" customHeight="false" outlineLevel="0" collapsed="false">
      <c r="A113" s="8" t="s">
        <v>441</v>
      </c>
      <c r="B113" s="8" t="s">
        <v>131</v>
      </c>
      <c r="C113" s="9" t="str">
        <f aca="false">VLOOKUP(B113,Dosen!$A:$D,4,FALSE())</f>
        <v>Faculty of Science and Data Analytics</v>
      </c>
      <c r="D113" s="9" t="n">
        <f aca="false">VLOOKUP(A113,Publikasi!$A:$G,5,FALSE())</f>
        <v>1.24</v>
      </c>
      <c r="E113" s="9" t="str">
        <f aca="false">VLOOKUP(A113,Publikasi!$A:$G,4,FALSE())</f>
        <v>Natural Sciences</v>
      </c>
      <c r="F113" s="9" t="n">
        <f aca="false">VLOOKUP(A113,Publikasi!$A:$G,3,FALSE())</f>
        <v>2023</v>
      </c>
    </row>
    <row r="114" customFormat="false" ht="15" hidden="false" customHeight="false" outlineLevel="0" collapsed="false">
      <c r="A114" s="8" t="s">
        <v>443</v>
      </c>
      <c r="B114" s="8" t="s">
        <v>131</v>
      </c>
      <c r="C114" s="9" t="str">
        <f aca="false">VLOOKUP(B114,Dosen!$A:$D,4,FALSE())</f>
        <v>Faculty of Science and Data Analytics</v>
      </c>
      <c r="D114" s="9" t="n">
        <f aca="false">VLOOKUP(A114,Publikasi!$A:$G,5,FALSE())</f>
        <v>0.49</v>
      </c>
      <c r="E114" s="9" t="str">
        <f aca="false">VLOOKUP(A114,Publikasi!$A:$G,4,FALSE())</f>
        <v>Natural Sciences</v>
      </c>
      <c r="F114" s="9" t="n">
        <f aca="false">VLOOKUP(A114,Publikasi!$A:$G,3,FALSE())</f>
        <v>2025</v>
      </c>
    </row>
    <row r="115" customFormat="false" ht="15" hidden="false" customHeight="false" outlineLevel="0" collapsed="false">
      <c r="A115" s="8" t="s">
        <v>445</v>
      </c>
      <c r="B115" s="8" t="s">
        <v>133</v>
      </c>
      <c r="C115" s="9" t="str">
        <f aca="false">VLOOKUP(B115,Dosen!$A:$D,4,FALSE())</f>
        <v>Faculty of Science and Data Analytics</v>
      </c>
      <c r="D115" s="9" t="n">
        <f aca="false">VLOOKUP(A115,Publikasi!$A:$G,5,FALSE())</f>
        <v>1.72</v>
      </c>
      <c r="E115" s="9" t="str">
        <f aca="false">VLOOKUP(A115,Publikasi!$A:$G,4,FALSE())</f>
        <v>Natural Sciences</v>
      </c>
      <c r="F115" s="9" t="n">
        <f aca="false">VLOOKUP(A115,Publikasi!$A:$G,3,FALSE())</f>
        <v>2023</v>
      </c>
    </row>
    <row r="116" customFormat="false" ht="15" hidden="false" customHeight="false" outlineLevel="0" collapsed="false">
      <c r="A116" s="8" t="s">
        <v>447</v>
      </c>
      <c r="B116" s="8" t="s">
        <v>133</v>
      </c>
      <c r="C116" s="9" t="str">
        <f aca="false">VLOOKUP(B116,Dosen!$A:$D,4,FALSE())</f>
        <v>Faculty of Science and Data Analytics</v>
      </c>
      <c r="D116" s="9" t="n">
        <f aca="false">VLOOKUP(A116,Publikasi!$A:$G,5,FALSE())</f>
        <v>1.03</v>
      </c>
      <c r="E116" s="9" t="str">
        <f aca="false">VLOOKUP(A116,Publikasi!$A:$G,4,FALSE())</f>
        <v>Natural Sciences</v>
      </c>
      <c r="F116" s="9" t="n">
        <f aca="false">VLOOKUP(A116,Publikasi!$A:$G,3,FALSE())</f>
        <v>2026</v>
      </c>
    </row>
    <row r="117" customFormat="false" ht="15" hidden="false" customHeight="false" outlineLevel="0" collapsed="false">
      <c r="A117" s="8" t="s">
        <v>449</v>
      </c>
      <c r="B117" s="8" t="s">
        <v>133</v>
      </c>
      <c r="C117" s="9" t="str">
        <f aca="false">VLOOKUP(B117,Dosen!$A:$D,4,FALSE())</f>
        <v>Faculty of Science and Data Analytics</v>
      </c>
      <c r="D117" s="9" t="n">
        <f aca="false">VLOOKUP(A117,Publikasi!$A:$G,5,FALSE())</f>
        <v>1.83</v>
      </c>
      <c r="E117" s="9" t="str">
        <f aca="false">VLOOKUP(A117,Publikasi!$A:$G,4,FALSE())</f>
        <v>Natural Sciences</v>
      </c>
      <c r="F117" s="9" t="n">
        <f aca="false">VLOOKUP(A117,Publikasi!$A:$G,3,FALSE())</f>
        <v>2022</v>
      </c>
    </row>
    <row r="118" customFormat="false" ht="15" hidden="false" customHeight="false" outlineLevel="0" collapsed="false">
      <c r="A118" s="8" t="s">
        <v>451</v>
      </c>
      <c r="B118" s="8" t="s">
        <v>135</v>
      </c>
      <c r="C118" s="9" t="str">
        <f aca="false">VLOOKUP(B118,Dosen!$A:$D,4,FALSE())</f>
        <v>Faculty of Vocation</v>
      </c>
      <c r="D118" s="9" t="n">
        <f aca="false">VLOOKUP(A118,Publikasi!$A:$G,5,FALSE())</f>
        <v>0.72</v>
      </c>
      <c r="E118" s="9" t="str">
        <f aca="false">VLOOKUP(A118,Publikasi!$A:$G,4,FALSE())</f>
        <v>Engineering and Technology</v>
      </c>
      <c r="F118" s="9" t="n">
        <f aca="false">VLOOKUP(A118,Publikasi!$A:$G,3,FALSE())</f>
        <v>2024</v>
      </c>
    </row>
    <row r="119" customFormat="false" ht="15" hidden="false" customHeight="false" outlineLevel="0" collapsed="false">
      <c r="A119" s="8" t="s">
        <v>453</v>
      </c>
      <c r="B119" s="8" t="s">
        <v>137</v>
      </c>
      <c r="C119" s="9" t="str">
        <f aca="false">VLOOKUP(B119,Dosen!$A:$D,4,FALSE())</f>
        <v>Faculty of Vocation</v>
      </c>
      <c r="D119" s="9" t="n">
        <f aca="false">VLOOKUP(A119,Publikasi!$A:$G,5,FALSE())</f>
        <v>1.96</v>
      </c>
      <c r="E119" s="9" t="str">
        <f aca="false">VLOOKUP(A119,Publikasi!$A:$G,4,FALSE())</f>
        <v>Social Sciences and Management</v>
      </c>
      <c r="F119" s="9" t="n">
        <f aca="false">VLOOKUP(A119,Publikasi!$A:$G,3,FALSE())</f>
        <v>2024</v>
      </c>
    </row>
    <row r="120" customFormat="false" ht="15" hidden="false" customHeight="false" outlineLevel="0" collapsed="false">
      <c r="A120" s="8" t="s">
        <v>455</v>
      </c>
      <c r="B120" s="8" t="s">
        <v>139</v>
      </c>
      <c r="C120" s="9" t="str">
        <f aca="false">VLOOKUP(B120,Dosen!$A:$D,4,FALSE())</f>
        <v>Faculty of Vocation</v>
      </c>
      <c r="D120" s="9" t="n">
        <f aca="false">VLOOKUP(A120,Publikasi!$A:$G,5,FALSE())</f>
        <v>1.77</v>
      </c>
      <c r="E120" s="9" t="str">
        <f aca="false">VLOOKUP(A120,Publikasi!$A:$G,4,FALSE())</f>
        <v>Natural Sciences</v>
      </c>
      <c r="F120" s="9" t="n">
        <f aca="false">VLOOKUP(A120,Publikasi!$A:$G,3,FALSE())</f>
        <v>2023</v>
      </c>
    </row>
    <row r="121" customFormat="false" ht="15" hidden="false" customHeight="false" outlineLevel="0" collapsed="false">
      <c r="A121" s="8" t="s">
        <v>457</v>
      </c>
      <c r="B121" s="8" t="s">
        <v>139</v>
      </c>
      <c r="C121" s="9" t="str">
        <f aca="false">VLOOKUP(B121,Dosen!$A:$D,4,FALSE())</f>
        <v>Faculty of Vocation</v>
      </c>
      <c r="D121" s="9" t="n">
        <f aca="false">VLOOKUP(A121,Publikasi!$A:$G,5,FALSE())</f>
        <v>0.6</v>
      </c>
      <c r="E121" s="9" t="str">
        <f aca="false">VLOOKUP(A121,Publikasi!$A:$G,4,FALSE())</f>
        <v>Engineering and Technology</v>
      </c>
      <c r="F121" s="9" t="n">
        <f aca="false">VLOOKUP(A121,Publikasi!$A:$G,3,FALSE())</f>
        <v>2023</v>
      </c>
    </row>
    <row r="122" customFormat="false" ht="15" hidden="false" customHeight="false" outlineLevel="0" collapsed="false">
      <c r="A122" s="8" t="s">
        <v>458</v>
      </c>
      <c r="B122" s="8" t="s">
        <v>139</v>
      </c>
      <c r="C122" s="9" t="str">
        <f aca="false">VLOOKUP(B122,Dosen!$A:$D,4,FALSE())</f>
        <v>Faculty of Vocation</v>
      </c>
      <c r="D122" s="9" t="n">
        <f aca="false">VLOOKUP(A122,Publikasi!$A:$G,5,FALSE())</f>
        <v>1.66</v>
      </c>
      <c r="E122" s="9" t="str">
        <f aca="false">VLOOKUP(A122,Publikasi!$A:$G,4,FALSE())</f>
        <v>Social Sciences and Management</v>
      </c>
      <c r="F122" s="9" t="n">
        <f aca="false">VLOOKUP(A122,Publikasi!$A:$G,3,FALSE())</f>
        <v>2024</v>
      </c>
    </row>
    <row r="123" customFormat="false" ht="15" hidden="false" customHeight="false" outlineLevel="0" collapsed="false">
      <c r="A123" s="8" t="s">
        <v>460</v>
      </c>
      <c r="B123" s="8" t="s">
        <v>141</v>
      </c>
      <c r="C123" s="9" t="str">
        <f aca="false">VLOOKUP(B123,Dosen!$A:$D,4,FALSE())</f>
        <v>Faculty of Vocation</v>
      </c>
      <c r="D123" s="9" t="n">
        <f aca="false">VLOOKUP(A123,Publikasi!$A:$G,5,FALSE())</f>
        <v>1.64</v>
      </c>
      <c r="E123" s="9" t="str">
        <f aca="false">VLOOKUP(A123,Publikasi!$A:$G,4,FALSE())</f>
        <v>Engineering and Technology</v>
      </c>
      <c r="F123" s="9" t="n">
        <f aca="false">VLOOKUP(A123,Publikasi!$A:$G,3,FALSE())</f>
        <v>2023</v>
      </c>
    </row>
    <row r="124" customFormat="false" ht="15" hidden="false" customHeight="false" outlineLevel="0" collapsed="false">
      <c r="A124" s="8" t="s">
        <v>462</v>
      </c>
      <c r="B124" s="8" t="s">
        <v>141</v>
      </c>
      <c r="C124" s="9" t="str">
        <f aca="false">VLOOKUP(B124,Dosen!$A:$D,4,FALSE())</f>
        <v>Faculty of Vocation</v>
      </c>
      <c r="D124" s="9" t="n">
        <f aca="false">VLOOKUP(A124,Publikasi!$A:$G,5,FALSE())</f>
        <v>0.37</v>
      </c>
      <c r="E124" s="9" t="str">
        <f aca="false">VLOOKUP(A124,Publikasi!$A:$G,4,FALSE())</f>
        <v>Engineering and Technology</v>
      </c>
      <c r="F124" s="9" t="n">
        <f aca="false">VLOOKUP(A124,Publikasi!$A:$G,3,FALSE())</f>
        <v>2022</v>
      </c>
    </row>
    <row r="125" customFormat="false" ht="15" hidden="false" customHeight="false" outlineLevel="0" collapsed="false">
      <c r="A125" s="8" t="s">
        <v>464</v>
      </c>
      <c r="B125" s="8" t="s">
        <v>141</v>
      </c>
      <c r="C125" s="9" t="str">
        <f aca="false">VLOOKUP(B125,Dosen!$A:$D,4,FALSE())</f>
        <v>Faculty of Vocation</v>
      </c>
      <c r="D125" s="9" t="n">
        <f aca="false">VLOOKUP(A125,Publikasi!$A:$G,5,FALSE())</f>
        <v>1.69</v>
      </c>
      <c r="E125" s="9" t="str">
        <f aca="false">VLOOKUP(A125,Publikasi!$A:$G,4,FALSE())</f>
        <v>Engineering and Technology</v>
      </c>
      <c r="F125" s="9" t="n">
        <f aca="false">VLOOKUP(A125,Publikasi!$A:$G,3,FALSE())</f>
        <v>2025</v>
      </c>
    </row>
    <row r="126" customFormat="false" ht="15" hidden="false" customHeight="false" outlineLevel="0" collapsed="false">
      <c r="A126" s="8" t="s">
        <v>466</v>
      </c>
      <c r="B126" s="8" t="s">
        <v>143</v>
      </c>
      <c r="C126" s="9" t="str">
        <f aca="false">VLOOKUP(B126,Dosen!$A:$D,4,FALSE())</f>
        <v>School of Interdisciplinary Management and Technology</v>
      </c>
      <c r="D126" s="9" t="n">
        <f aca="false">VLOOKUP(A126,Publikasi!$A:$G,5,FALSE())</f>
        <v>1.65</v>
      </c>
      <c r="E126" s="9" t="str">
        <f aca="false">VLOOKUP(A126,Publikasi!$A:$G,4,FALSE())</f>
        <v>Social Sciences and Management</v>
      </c>
      <c r="F126" s="9" t="n">
        <f aca="false">VLOOKUP(A126,Publikasi!$A:$G,3,FALSE())</f>
        <v>2024</v>
      </c>
    </row>
    <row r="127" customFormat="false" ht="15" hidden="false" customHeight="false" outlineLevel="0" collapsed="false">
      <c r="A127" s="8" t="s">
        <v>468</v>
      </c>
      <c r="B127" s="8" t="s">
        <v>143</v>
      </c>
      <c r="C127" s="9" t="str">
        <f aca="false">VLOOKUP(B127,Dosen!$A:$D,4,FALSE())</f>
        <v>School of Interdisciplinary Management and Technology</v>
      </c>
      <c r="D127" s="9" t="n">
        <f aca="false">VLOOKUP(A127,Publikasi!$A:$G,5,FALSE())</f>
        <v>1.42</v>
      </c>
      <c r="E127" s="9" t="str">
        <f aca="false">VLOOKUP(A127,Publikasi!$A:$G,4,FALSE())</f>
        <v>Social Sciences and Management</v>
      </c>
      <c r="F127" s="9" t="n">
        <f aca="false">VLOOKUP(A127,Publikasi!$A:$G,3,FALSE())</f>
        <v>2023</v>
      </c>
    </row>
    <row r="128" customFormat="false" ht="15" hidden="false" customHeight="false" outlineLevel="0" collapsed="false">
      <c r="A128" s="8" t="s">
        <v>470</v>
      </c>
      <c r="B128" s="8" t="s">
        <v>145</v>
      </c>
      <c r="C128" s="9" t="str">
        <f aca="false">VLOOKUP(B128,Dosen!$A:$D,4,FALSE())</f>
        <v>School of Interdisciplinary Management and Technology</v>
      </c>
      <c r="D128" s="9" t="n">
        <f aca="false">VLOOKUP(A128,Publikasi!$A:$G,5,FALSE())</f>
        <v>0.42</v>
      </c>
      <c r="E128" s="9" t="str">
        <f aca="false">VLOOKUP(A128,Publikasi!$A:$G,4,FALSE())</f>
        <v>Social Sciences and Management</v>
      </c>
      <c r="F128" s="9" t="n">
        <f aca="false">VLOOKUP(A128,Publikasi!$A:$G,3,FALSE())</f>
        <v>2024</v>
      </c>
    </row>
    <row r="129" customFormat="false" ht="15" hidden="false" customHeight="false" outlineLevel="0" collapsed="false">
      <c r="A129" s="8" t="s">
        <v>472</v>
      </c>
      <c r="B129" s="8" t="s">
        <v>145</v>
      </c>
      <c r="C129" s="9" t="str">
        <f aca="false">VLOOKUP(B129,Dosen!$A:$D,4,FALSE())</f>
        <v>School of Interdisciplinary Management and Technology</v>
      </c>
      <c r="D129" s="9" t="n">
        <f aca="false">VLOOKUP(A129,Publikasi!$A:$G,5,FALSE())</f>
        <v>1.17</v>
      </c>
      <c r="E129" s="9" t="str">
        <f aca="false">VLOOKUP(A129,Publikasi!$A:$G,4,FALSE())</f>
        <v>Social Sciences and Management</v>
      </c>
      <c r="F129" s="9" t="n">
        <f aca="false">VLOOKUP(A129,Publikasi!$A:$G,3,FALSE())</f>
        <v>2024</v>
      </c>
    </row>
    <row r="130" customFormat="false" ht="15" hidden="false" customHeight="false" outlineLevel="0" collapsed="false">
      <c r="A130" s="8" t="s">
        <v>473</v>
      </c>
      <c r="B130" s="8" t="s">
        <v>147</v>
      </c>
      <c r="C130" s="9" t="str">
        <f aca="false">VLOOKUP(B130,Dosen!$A:$D,4,FALSE())</f>
        <v>School of Interdisciplinary Management and Technology</v>
      </c>
      <c r="D130" s="9" t="n">
        <f aca="false">VLOOKUP(A130,Publikasi!$A:$G,5,FALSE())</f>
        <v>0.35</v>
      </c>
      <c r="E130" s="9" t="str">
        <f aca="false">VLOOKUP(A130,Publikasi!$A:$G,4,FALSE())</f>
        <v>Social Sciences and Management</v>
      </c>
      <c r="F130" s="9" t="n">
        <f aca="false">VLOOKUP(A130,Publikasi!$A:$G,3,FALSE())</f>
        <v>2026</v>
      </c>
    </row>
    <row r="131" customFormat="false" ht="15" hidden="false" customHeight="false" outlineLevel="0" collapsed="false">
      <c r="A131" s="8" t="s">
        <v>475</v>
      </c>
      <c r="B131" s="8" t="s">
        <v>147</v>
      </c>
      <c r="C131" s="9" t="str">
        <f aca="false">VLOOKUP(B131,Dosen!$A:$D,4,FALSE())</f>
        <v>School of Interdisciplinary Management and Technology</v>
      </c>
      <c r="D131" s="9" t="n">
        <f aca="false">VLOOKUP(A131,Publikasi!$A:$G,5,FALSE())</f>
        <v>1.94</v>
      </c>
      <c r="E131" s="9" t="str">
        <f aca="false">VLOOKUP(A131,Publikasi!$A:$G,4,FALSE())</f>
        <v>Social Sciences and Management</v>
      </c>
      <c r="F131" s="9" t="n">
        <f aca="false">VLOOKUP(A131,Publikasi!$A:$G,3,FALSE())</f>
        <v>2024</v>
      </c>
    </row>
    <row r="132" customFormat="false" ht="15" hidden="false" customHeight="false" outlineLevel="0" collapsed="false">
      <c r="A132" s="8" t="s">
        <v>477</v>
      </c>
      <c r="B132" s="8" t="s">
        <v>147</v>
      </c>
      <c r="C132" s="9" t="str">
        <f aca="false">VLOOKUP(B132,Dosen!$A:$D,4,FALSE())</f>
        <v>School of Interdisciplinary Management and Technology</v>
      </c>
      <c r="D132" s="9" t="n">
        <f aca="false">VLOOKUP(A132,Publikasi!$A:$G,5,FALSE())</f>
        <v>1.31</v>
      </c>
      <c r="E132" s="9" t="str">
        <f aca="false">VLOOKUP(A132,Publikasi!$A:$G,4,FALSE())</f>
        <v>Social Sciences and Management</v>
      </c>
      <c r="F132" s="9" t="n">
        <f aca="false">VLOOKUP(A132,Publikasi!$A:$G,3,FALSE())</f>
        <v>2024</v>
      </c>
    </row>
    <row r="133" customFormat="false" ht="15" hidden="false" customHeight="false" outlineLevel="0" collapsed="false">
      <c r="A133" s="8" t="s">
        <v>478</v>
      </c>
      <c r="B133" s="8" t="s">
        <v>149</v>
      </c>
      <c r="C133" s="9" t="str">
        <f aca="false">VLOOKUP(B133,Dosen!$A:$D,4,FALSE())</f>
        <v>School of Interdisciplinary Management and Technology</v>
      </c>
      <c r="D133" s="9" t="n">
        <f aca="false">VLOOKUP(A133,Publikasi!$A:$G,5,FALSE())</f>
        <v>1.97</v>
      </c>
      <c r="E133" s="9" t="str">
        <f aca="false">VLOOKUP(A133,Publikasi!$A:$G,4,FALSE())</f>
        <v>Social Sciences and Management</v>
      </c>
      <c r="F133" s="9" t="n">
        <f aca="false">VLOOKUP(A133,Publikasi!$A:$G,3,FALSE())</f>
        <v>2024</v>
      </c>
    </row>
    <row r="134" customFormat="false" ht="15" hidden="false" customHeight="false" outlineLevel="0" collapsed="false">
      <c r="A134" s="8" t="s">
        <v>480</v>
      </c>
      <c r="B134" s="8" t="s">
        <v>149</v>
      </c>
      <c r="C134" s="9" t="str">
        <f aca="false">VLOOKUP(B134,Dosen!$A:$D,4,FALSE())</f>
        <v>School of Interdisciplinary Management and Technology</v>
      </c>
      <c r="D134" s="9" t="n">
        <f aca="false">VLOOKUP(A134,Publikasi!$A:$G,5,FALSE())</f>
        <v>1.28</v>
      </c>
      <c r="E134" s="9" t="str">
        <f aca="false">VLOOKUP(A134,Publikasi!$A:$G,4,FALSE())</f>
        <v>Social Sciences and Management</v>
      </c>
      <c r="F134" s="9" t="n">
        <f aca="false">VLOOKUP(A134,Publikasi!$A:$G,3,FALSE())</f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10" min="9" style="0" width="30"/>
  </cols>
  <sheetData>
    <row r="1" customFormat="false" ht="35.05" hidden="false" customHeight="false" outlineLevel="0" collapsed="false">
      <c r="A1" s="7" t="s">
        <v>12</v>
      </c>
      <c r="B1" s="7" t="s">
        <v>217</v>
      </c>
      <c r="C1" s="7" t="s">
        <v>221</v>
      </c>
      <c r="D1" s="7" t="s">
        <v>219</v>
      </c>
      <c r="E1" s="7" t="s">
        <v>487</v>
      </c>
      <c r="F1" s="7" t="s">
        <v>488</v>
      </c>
      <c r="G1" s="7" t="s">
        <v>489</v>
      </c>
      <c r="H1" s="7" t="s">
        <v>483</v>
      </c>
      <c r="I1" s="7" t="s">
        <v>490</v>
      </c>
      <c r="J1" s="7" t="s">
        <v>491</v>
      </c>
    </row>
    <row r="2" customFormat="false" ht="15" hidden="false" customHeight="false" outlineLevel="0" collapsed="false">
      <c r="A2" s="8" t="s">
        <v>492</v>
      </c>
      <c r="B2" s="8" t="s">
        <v>171</v>
      </c>
      <c r="C2" s="8" t="s">
        <v>493</v>
      </c>
      <c r="D2" s="8" t="s">
        <v>236</v>
      </c>
      <c r="E2" s="8" t="s">
        <v>494</v>
      </c>
      <c r="F2" s="8" t="s">
        <v>495</v>
      </c>
      <c r="G2" s="8" t="n">
        <v>2027</v>
      </c>
      <c r="H2" s="8" t="s">
        <v>63</v>
      </c>
      <c r="I2" s="9" t="str">
        <f aca="false">VLOOKUP(B2,Institusi_Mitra!$A:$B,2,FALSE())</f>
        <v>TU Delft</v>
      </c>
      <c r="J2" s="9" t="str">
        <f aca="false">VLOOKUP(H2,Dosen!$A:$C,3,FALSE())</f>
        <v>I Gde Manik Sukanegara Adhita, S.T., M.MST., Ph.D.</v>
      </c>
    </row>
    <row r="3" customFormat="false" ht="15" hidden="false" customHeight="false" outlineLevel="0" collapsed="false">
      <c r="A3" s="8" t="s">
        <v>496</v>
      </c>
      <c r="B3" s="8" t="s">
        <v>174</v>
      </c>
      <c r="C3" s="8" t="s">
        <v>497</v>
      </c>
      <c r="D3" s="8" t="s">
        <v>236</v>
      </c>
      <c r="E3" s="8" t="s">
        <v>498</v>
      </c>
      <c r="F3" s="8" t="s">
        <v>499</v>
      </c>
      <c r="G3" s="8" t="n">
        <v>2027</v>
      </c>
      <c r="H3" s="8" t="s">
        <v>67</v>
      </c>
      <c r="I3" s="9" t="str">
        <f aca="false">VLOOKUP(B3,Institusi_Mitra!$A:$B,2,FALSE())</f>
        <v>Universiti Kuala Lumpur</v>
      </c>
      <c r="J3" s="9" t="str">
        <f aca="false">VLOOKUP(H3,Dosen!$A:$C,3,FALSE())</f>
        <v>Erzad Iskandar Putra</v>
      </c>
    </row>
    <row r="4" customFormat="false" ht="15" hidden="false" customHeight="false" outlineLevel="0" collapsed="false">
      <c r="A4" s="8" t="s">
        <v>500</v>
      </c>
      <c r="B4" s="8" t="s">
        <v>174</v>
      </c>
      <c r="C4" s="8" t="s">
        <v>501</v>
      </c>
      <c r="D4" s="8" t="s">
        <v>236</v>
      </c>
      <c r="E4" s="8" t="s">
        <v>502</v>
      </c>
      <c r="F4" s="8" t="s">
        <v>503</v>
      </c>
      <c r="G4" s="8" t="n">
        <v>2027</v>
      </c>
      <c r="H4" s="8" t="s">
        <v>67</v>
      </c>
      <c r="I4" s="9" t="str">
        <f aca="false">VLOOKUP(B4,Institusi_Mitra!$A:$B,2,FALSE())</f>
        <v>Universiti Kuala Lumpur</v>
      </c>
      <c r="J4" s="9" t="str">
        <f aca="false">VLOOKUP(H4,Dosen!$A:$C,3,FALSE())</f>
        <v>Erzad Iskandar Putra</v>
      </c>
    </row>
    <row r="5" customFormat="false" ht="15" hidden="false" customHeight="false" outlineLevel="0" collapsed="false">
      <c r="A5" s="8" t="s">
        <v>504</v>
      </c>
      <c r="B5" s="8" t="s">
        <v>176</v>
      </c>
      <c r="C5" s="8" t="s">
        <v>505</v>
      </c>
      <c r="D5" s="8" t="s">
        <v>236</v>
      </c>
      <c r="E5" s="8" t="s">
        <v>494</v>
      </c>
      <c r="F5" s="8" t="s">
        <v>506</v>
      </c>
      <c r="G5" s="8" t="n">
        <v>2027</v>
      </c>
      <c r="H5" s="8" t="s">
        <v>81</v>
      </c>
      <c r="I5" s="9" t="str">
        <f aca="false">VLOOKUP(B5,Institusi_Mitra!$A:$B,2,FALSE())</f>
        <v>University of Rwanda</v>
      </c>
      <c r="J5" s="9" t="str">
        <f aca="false">VLOOKUP(H5,Dosen!$A:$C,3,FALSE())</f>
        <v>Tohari Ahmad</v>
      </c>
    </row>
    <row r="6" customFormat="false" ht="15" hidden="false" customHeight="false" outlineLevel="0" collapsed="false">
      <c r="A6" s="8" t="s">
        <v>507</v>
      </c>
      <c r="B6" s="8" t="s">
        <v>179</v>
      </c>
      <c r="C6" s="8" t="s">
        <v>508</v>
      </c>
      <c r="D6" s="8" t="s">
        <v>224</v>
      </c>
      <c r="E6" s="8" t="s">
        <v>498</v>
      </c>
      <c r="F6" s="8" t="s">
        <v>509</v>
      </c>
      <c r="G6" s="8" t="n">
        <v>2027</v>
      </c>
      <c r="H6" s="8" t="s">
        <v>95</v>
      </c>
      <c r="I6" s="9" t="str">
        <f aca="false">VLOOKUP(B6,Institusi_Mitra!$A:$B,2,FALSE())</f>
        <v>KAIST</v>
      </c>
      <c r="J6" s="9" t="str">
        <f aca="false">VLOOKUP(H6,Dosen!$A:$C,3,FALSE())</f>
        <v>Dosen 13</v>
      </c>
    </row>
    <row r="7" customFormat="false" ht="15" hidden="false" customHeight="false" outlineLevel="0" collapsed="false">
      <c r="A7" s="8" t="s">
        <v>510</v>
      </c>
      <c r="B7" s="8" t="s">
        <v>181</v>
      </c>
      <c r="C7" s="8" t="s">
        <v>511</v>
      </c>
      <c r="D7" s="8" t="s">
        <v>224</v>
      </c>
      <c r="E7" s="8" t="s">
        <v>502</v>
      </c>
      <c r="F7" s="8" t="s">
        <v>512</v>
      </c>
      <c r="G7" s="8" t="n">
        <v>2027</v>
      </c>
      <c r="H7" s="8" t="s">
        <v>95</v>
      </c>
      <c r="I7" s="9" t="str">
        <f aca="false">VLOOKUP(B7,Institusi_Mitra!$A:$B,2,FALSE())</f>
        <v>Chulalongkorn University</v>
      </c>
      <c r="J7" s="9" t="str">
        <f aca="false">VLOOKUP(H7,Dosen!$A:$C,3,FALSE())</f>
        <v>Dosen 13</v>
      </c>
    </row>
    <row r="8" customFormat="false" ht="15" hidden="false" customHeight="false" outlineLevel="0" collapsed="false">
      <c r="A8" s="8" t="s">
        <v>513</v>
      </c>
      <c r="B8" s="8" t="s">
        <v>181</v>
      </c>
      <c r="C8" s="8" t="s">
        <v>514</v>
      </c>
      <c r="D8" s="8" t="s">
        <v>224</v>
      </c>
      <c r="E8" s="8" t="s">
        <v>515</v>
      </c>
      <c r="F8" s="8" t="s">
        <v>512</v>
      </c>
      <c r="G8" s="8" t="n">
        <v>2027</v>
      </c>
      <c r="H8" s="8" t="s">
        <v>95</v>
      </c>
      <c r="I8" s="9" t="str">
        <f aca="false">VLOOKUP(B8,Institusi_Mitra!$A:$B,2,FALSE())</f>
        <v>Chulalongkorn University</v>
      </c>
      <c r="J8" s="9" t="str">
        <f aca="false">VLOOKUP(H8,Dosen!$A:$C,3,FALSE())</f>
        <v>Dosen 13</v>
      </c>
    </row>
    <row r="9" customFormat="false" ht="15" hidden="false" customHeight="false" outlineLevel="0" collapsed="false">
      <c r="A9" s="8" t="s">
        <v>516</v>
      </c>
      <c r="B9" s="8" t="s">
        <v>181</v>
      </c>
      <c r="C9" s="8" t="s">
        <v>517</v>
      </c>
      <c r="D9" s="8" t="s">
        <v>224</v>
      </c>
      <c r="E9" s="8" t="s">
        <v>502</v>
      </c>
      <c r="F9" s="8" t="s">
        <v>512</v>
      </c>
      <c r="G9" s="8" t="n">
        <v>2027</v>
      </c>
      <c r="H9" s="8" t="s">
        <v>95</v>
      </c>
      <c r="I9" s="9" t="str">
        <f aca="false">VLOOKUP(B9,Institusi_Mitra!$A:$B,2,FALSE())</f>
        <v>Chulalongkorn University</v>
      </c>
      <c r="J9" s="9" t="str">
        <f aca="false">VLOOKUP(H9,Dosen!$A:$C,3,FALSE())</f>
        <v>Dosen 13</v>
      </c>
    </row>
    <row r="10" customFormat="false" ht="15" hidden="false" customHeight="false" outlineLevel="0" collapsed="false">
      <c r="A10" s="8" t="s">
        <v>518</v>
      </c>
      <c r="B10" s="8" t="s">
        <v>184</v>
      </c>
      <c r="C10" s="8" t="s">
        <v>519</v>
      </c>
      <c r="D10" s="8" t="s">
        <v>251</v>
      </c>
      <c r="E10" s="8" t="s">
        <v>494</v>
      </c>
      <c r="F10" s="8" t="s">
        <v>520</v>
      </c>
      <c r="G10" s="8" t="n">
        <v>2027</v>
      </c>
      <c r="H10" s="8" t="s">
        <v>119</v>
      </c>
      <c r="I10" s="9" t="str">
        <f aca="false">VLOOKUP(B10,Institusi_Mitra!$A:$B,2,FALSE())</f>
        <v>University of Melbourne</v>
      </c>
      <c r="J10" s="9" t="str">
        <f aca="false">VLOOKUP(H10,Dosen!$A:$C,3,FALSE())</f>
        <v>Dosen 25</v>
      </c>
    </row>
    <row r="11" customFormat="false" ht="15" hidden="false" customHeight="false" outlineLevel="0" collapsed="false">
      <c r="A11" s="8" t="s">
        <v>521</v>
      </c>
      <c r="B11" s="8" t="s">
        <v>186</v>
      </c>
      <c r="C11" s="8" t="s">
        <v>522</v>
      </c>
      <c r="D11" s="8" t="s">
        <v>236</v>
      </c>
      <c r="E11" s="8" t="s">
        <v>498</v>
      </c>
      <c r="F11" s="8" t="s">
        <v>523</v>
      </c>
      <c r="G11" s="8" t="n">
        <v>2028</v>
      </c>
      <c r="H11" s="8" t="s">
        <v>93</v>
      </c>
      <c r="I11" s="9" t="str">
        <f aca="false">VLOOKUP(B11,Institusi_Mitra!$A:$B,2,FALSE())</f>
        <v>IIT Delhi</v>
      </c>
      <c r="J11" s="9" t="str">
        <f aca="false">VLOOKUP(H11,Dosen!$A:$C,3,FALSE())</f>
        <v>Dosen 12</v>
      </c>
    </row>
    <row r="12" customFormat="false" ht="15" hidden="false" customHeight="false" outlineLevel="0" collapsed="false">
      <c r="A12" s="8" t="s">
        <v>524</v>
      </c>
      <c r="B12" s="8" t="s">
        <v>154</v>
      </c>
      <c r="C12" s="8" t="s">
        <v>525</v>
      </c>
      <c r="D12" s="8" t="s">
        <v>224</v>
      </c>
      <c r="E12" s="8" t="s">
        <v>494</v>
      </c>
      <c r="F12" s="8" t="s">
        <v>526</v>
      </c>
      <c r="G12" s="8" t="n">
        <v>2027</v>
      </c>
      <c r="H12" s="8" t="s">
        <v>95</v>
      </c>
      <c r="I12" s="9" t="str">
        <f aca="false">VLOOKUP(B12,Institusi_Mitra!$A:$B,2,FALSE())</f>
        <v>National University of Singapore (NUS)</v>
      </c>
      <c r="J12" s="9" t="str">
        <f aca="false">VLOOKUP(H12,Dosen!$A:$C,3,FALSE())</f>
        <v>Dosen 13</v>
      </c>
    </row>
    <row r="13" customFormat="false" ht="15" hidden="false" customHeight="false" outlineLevel="0" collapsed="false">
      <c r="A13" s="8" t="s">
        <v>527</v>
      </c>
      <c r="B13" s="8" t="s">
        <v>154</v>
      </c>
      <c r="C13" s="8" t="s">
        <v>528</v>
      </c>
      <c r="D13" s="8" t="s">
        <v>224</v>
      </c>
      <c r="E13" s="8" t="s">
        <v>502</v>
      </c>
      <c r="F13" s="8" t="s">
        <v>529</v>
      </c>
      <c r="G13" s="8" t="n">
        <v>2027</v>
      </c>
      <c r="H13" s="8" t="s">
        <v>95</v>
      </c>
      <c r="I13" s="9" t="str">
        <f aca="false">VLOOKUP(B13,Institusi_Mitra!$A:$B,2,FALSE())</f>
        <v>National University of Singapore (NUS)</v>
      </c>
      <c r="J13" s="9" t="str">
        <f aca="false">VLOOKUP(H13,Dosen!$A:$C,3,FALSE())</f>
        <v>Dosen 13</v>
      </c>
    </row>
    <row r="14" customFormat="false" ht="15" hidden="false" customHeight="false" outlineLevel="0" collapsed="false">
      <c r="A14" s="8" t="s">
        <v>530</v>
      </c>
      <c r="B14" s="8" t="s">
        <v>160</v>
      </c>
      <c r="C14" s="8" t="s">
        <v>531</v>
      </c>
      <c r="D14" s="8" t="s">
        <v>236</v>
      </c>
      <c r="E14" s="8" t="s">
        <v>498</v>
      </c>
      <c r="F14" s="8" t="s">
        <v>532</v>
      </c>
      <c r="G14" s="8" t="n">
        <v>2027</v>
      </c>
      <c r="H14" s="8" t="s">
        <v>55</v>
      </c>
      <c r="I14" s="9" t="str">
        <f aca="false">VLOOKUP(B14,Institusi_Mitra!$A:$B,2,FALSE())</f>
        <v>Seoul National University</v>
      </c>
      <c r="J14" s="9" t="str">
        <f aca="false">VLOOKUP(H14,Dosen!$A:$C,3,FALSE())</f>
        <v>Tri Achmadi, Ir., Ph.D.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7" t="s">
        <v>12</v>
      </c>
      <c r="B1" s="7" t="s">
        <v>533</v>
      </c>
      <c r="C1" s="7" t="s">
        <v>534</v>
      </c>
      <c r="D1" s="7" t="s">
        <v>535</v>
      </c>
    </row>
    <row r="2" customFormat="false" ht="15" hidden="false" customHeight="false" outlineLevel="0" collapsed="false">
      <c r="A2" s="8" t="s">
        <v>536</v>
      </c>
      <c r="B2" s="8" t="s">
        <v>537</v>
      </c>
      <c r="C2" s="8" t="n">
        <v>2026</v>
      </c>
      <c r="D2" s="8" t="s">
        <v>538</v>
      </c>
    </row>
    <row r="3" customFormat="false" ht="15" hidden="false" customHeight="false" outlineLevel="0" collapsed="false">
      <c r="A3" s="8" t="s">
        <v>539</v>
      </c>
      <c r="B3" s="8" t="s">
        <v>540</v>
      </c>
      <c r="C3" s="8" t="n">
        <v>2026</v>
      </c>
      <c r="D3" s="8" t="n">
        <v>189</v>
      </c>
    </row>
    <row r="4" customFormat="false" ht="15" hidden="false" customHeight="false" outlineLevel="0" collapsed="false">
      <c r="A4" s="8" t="s">
        <v>541</v>
      </c>
      <c r="B4" s="8" t="s">
        <v>542</v>
      </c>
      <c r="C4" s="8" t="n">
        <v>2026</v>
      </c>
      <c r="D4" s="8" t="n">
        <v>153</v>
      </c>
    </row>
    <row r="5" customFormat="false" ht="15" hidden="false" customHeight="false" outlineLevel="0" collapsed="false">
      <c r="A5" s="8" t="s">
        <v>543</v>
      </c>
      <c r="B5" s="8" t="s">
        <v>172</v>
      </c>
      <c r="C5" s="8" t="n">
        <v>2026</v>
      </c>
      <c r="D5" s="8" t="n">
        <v>47</v>
      </c>
    </row>
    <row r="6" customFormat="false" ht="15" hidden="false" customHeight="false" outlineLevel="0" collapsed="false">
      <c r="A6" s="8" t="s">
        <v>544</v>
      </c>
      <c r="B6" s="8" t="s">
        <v>195</v>
      </c>
      <c r="C6" s="8" t="n">
        <v>2026</v>
      </c>
      <c r="D6" s="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7" t="s">
        <v>545</v>
      </c>
      <c r="B1" s="7" t="s">
        <v>546</v>
      </c>
      <c r="C1" s="7" t="s">
        <v>219</v>
      </c>
      <c r="D1" s="7" t="s">
        <v>220</v>
      </c>
    </row>
    <row r="2" customFormat="false" ht="15" hidden="false" customHeight="false" outlineLevel="0" collapsed="false">
      <c r="A2" s="8" t="s">
        <v>536</v>
      </c>
      <c r="B2" s="9" t="str">
        <f aca="false">VLOOKUP(A2,Universitas_Pembanding!$A:$B,2,FALSE())</f>
        <v>ITB</v>
      </c>
      <c r="C2" s="8" t="s">
        <v>236</v>
      </c>
      <c r="D2" s="8" t="n">
        <v>1.1</v>
      </c>
    </row>
    <row r="3" customFormat="false" ht="15" hidden="false" customHeight="false" outlineLevel="0" collapsed="false">
      <c r="A3" s="8" t="s">
        <v>536</v>
      </c>
      <c r="B3" s="9" t="str">
        <f aca="false">VLOOKUP(A3,Universitas_Pembanding!$A:$B,2,FALSE())</f>
        <v>ITB</v>
      </c>
      <c r="C3" s="8" t="s">
        <v>224</v>
      </c>
      <c r="D3" s="8" t="n">
        <v>0.9</v>
      </c>
    </row>
    <row r="4" customFormat="false" ht="15" hidden="false" customHeight="false" outlineLevel="0" collapsed="false">
      <c r="A4" s="8" t="s">
        <v>536</v>
      </c>
      <c r="B4" s="9" t="str">
        <f aca="false">VLOOKUP(A4,Universitas_Pembanding!$A:$B,2,FALSE())</f>
        <v>ITB</v>
      </c>
      <c r="C4" s="8" t="s">
        <v>251</v>
      </c>
      <c r="D4" s="8" t="n">
        <v>0.75</v>
      </c>
    </row>
    <row r="5" customFormat="false" ht="15" hidden="false" customHeight="false" outlineLevel="0" collapsed="false">
      <c r="A5" s="8" t="s">
        <v>536</v>
      </c>
      <c r="B5" s="9" t="str">
        <f aca="false">VLOOKUP(A5,Universitas_Pembanding!$A:$B,2,FALSE())</f>
        <v>ITB</v>
      </c>
      <c r="C5" s="8" t="s">
        <v>264</v>
      </c>
      <c r="D5" s="8" t="n">
        <v>0.8</v>
      </c>
    </row>
    <row r="6" customFormat="false" ht="15" hidden="false" customHeight="false" outlineLevel="0" collapsed="false">
      <c r="A6" s="8" t="s">
        <v>536</v>
      </c>
      <c r="B6" s="9" t="str">
        <f aca="false">VLOOKUP(A6,Universitas_Pembanding!$A:$B,2,FALSE())</f>
        <v>ITB</v>
      </c>
      <c r="C6" s="8" t="s">
        <v>297</v>
      </c>
      <c r="D6" s="8" t="n">
        <v>0.5</v>
      </c>
    </row>
    <row r="7" customFormat="false" ht="15" hidden="false" customHeight="false" outlineLevel="0" collapsed="false">
      <c r="A7" s="8" t="s">
        <v>539</v>
      </c>
      <c r="B7" s="9" t="str">
        <f aca="false">VLOOKUP(A7,Universitas_Pembanding!$A:$B,2,FALSE())</f>
        <v>Universitas Indonesia</v>
      </c>
      <c r="C7" s="8" t="s">
        <v>236</v>
      </c>
      <c r="D7" s="8" t="n">
        <v>0.7</v>
      </c>
    </row>
    <row r="8" customFormat="false" ht="15" hidden="false" customHeight="false" outlineLevel="0" collapsed="false">
      <c r="A8" s="8" t="s">
        <v>539</v>
      </c>
      <c r="B8" s="9" t="str">
        <f aca="false">VLOOKUP(A8,Universitas_Pembanding!$A:$B,2,FALSE())</f>
        <v>Universitas Indonesia</v>
      </c>
      <c r="C8" s="8" t="s">
        <v>224</v>
      </c>
      <c r="D8" s="8" t="n">
        <v>0.68</v>
      </c>
    </row>
    <row r="9" customFormat="false" ht="15" hidden="false" customHeight="false" outlineLevel="0" collapsed="false">
      <c r="A9" s="8" t="s">
        <v>539</v>
      </c>
      <c r="B9" s="9" t="str">
        <f aca="false">VLOOKUP(A9,Universitas_Pembanding!$A:$B,2,FALSE())</f>
        <v>Universitas Indonesia</v>
      </c>
      <c r="C9" s="8" t="s">
        <v>251</v>
      </c>
      <c r="D9" s="8" t="n">
        <v>0.9</v>
      </c>
    </row>
    <row r="10" customFormat="false" ht="15" hidden="false" customHeight="false" outlineLevel="0" collapsed="false">
      <c r="A10" s="8" t="s">
        <v>539</v>
      </c>
      <c r="B10" s="9" t="str">
        <f aca="false">VLOOKUP(A10,Universitas_Pembanding!$A:$B,2,FALSE())</f>
        <v>Universitas Indonesia</v>
      </c>
      <c r="C10" s="8" t="s">
        <v>264</v>
      </c>
      <c r="D10" s="8" t="n">
        <v>0.85</v>
      </c>
    </row>
    <row r="11" customFormat="false" ht="15" hidden="false" customHeight="false" outlineLevel="0" collapsed="false">
      <c r="A11" s="8" t="s">
        <v>539</v>
      </c>
      <c r="B11" s="9" t="str">
        <f aca="false">VLOOKUP(A11,Universitas_Pembanding!$A:$B,2,FALSE())</f>
        <v>Universitas Indonesia</v>
      </c>
      <c r="C11" s="8" t="s">
        <v>297</v>
      </c>
      <c r="D11" s="8" t="n">
        <v>0.65</v>
      </c>
    </row>
    <row r="12" customFormat="false" ht="15" hidden="false" customHeight="false" outlineLevel="0" collapsed="false">
      <c r="A12" s="8" t="s">
        <v>541</v>
      </c>
      <c r="B12" s="9" t="str">
        <f aca="false">VLOOKUP(A12,Universitas_Pembanding!$A:$B,2,FALSE())</f>
        <v>UTM</v>
      </c>
      <c r="C12" s="8" t="s">
        <v>236</v>
      </c>
      <c r="D12" s="8" t="n">
        <v>1.3</v>
      </c>
    </row>
    <row r="13" customFormat="false" ht="15" hidden="false" customHeight="false" outlineLevel="0" collapsed="false">
      <c r="A13" s="8" t="s">
        <v>541</v>
      </c>
      <c r="B13" s="9" t="str">
        <f aca="false">VLOOKUP(A13,Universitas_Pembanding!$A:$B,2,FALSE())</f>
        <v>UTM</v>
      </c>
      <c r="C13" s="8" t="s">
        <v>224</v>
      </c>
      <c r="D13" s="8" t="n">
        <v>0.95</v>
      </c>
    </row>
    <row r="14" customFormat="false" ht="15" hidden="false" customHeight="false" outlineLevel="0" collapsed="false">
      <c r="A14" s="8" t="s">
        <v>541</v>
      </c>
      <c r="B14" s="9" t="str">
        <f aca="false">VLOOKUP(A14,Universitas_Pembanding!$A:$B,2,FALSE())</f>
        <v>UTM</v>
      </c>
      <c r="C14" s="8" t="s">
        <v>251</v>
      </c>
      <c r="D14" s="8" t="n">
        <v>0.6</v>
      </c>
    </row>
    <row r="15" customFormat="false" ht="15" hidden="false" customHeight="false" outlineLevel="0" collapsed="false">
      <c r="A15" s="8" t="s">
        <v>541</v>
      </c>
      <c r="B15" s="9" t="str">
        <f aca="false">VLOOKUP(A15,Universitas_Pembanding!$A:$B,2,FALSE())</f>
        <v>UTM</v>
      </c>
      <c r="C15" s="8" t="s">
        <v>264</v>
      </c>
      <c r="D15" s="8" t="n">
        <v>0.5</v>
      </c>
    </row>
    <row r="16" customFormat="false" ht="15" hidden="false" customHeight="false" outlineLevel="0" collapsed="false">
      <c r="A16" s="8" t="s">
        <v>541</v>
      </c>
      <c r="B16" s="9" t="str">
        <f aca="false">VLOOKUP(A16,Universitas_Pembanding!$A:$B,2,FALSE())</f>
        <v>UTM</v>
      </c>
      <c r="C16" s="8" t="s">
        <v>297</v>
      </c>
      <c r="D16" s="8" t="n">
        <v>0.3</v>
      </c>
    </row>
    <row r="17" customFormat="false" ht="15" hidden="false" customHeight="false" outlineLevel="0" collapsed="false">
      <c r="A17" s="8" t="s">
        <v>543</v>
      </c>
      <c r="B17" s="9" t="str">
        <f aca="false">VLOOKUP(A17,Universitas_Pembanding!$A:$B,2,FALSE())</f>
        <v>TU Delft</v>
      </c>
      <c r="C17" s="8" t="s">
        <v>236</v>
      </c>
      <c r="D17" s="8" t="n">
        <v>1.62</v>
      </c>
    </row>
    <row r="18" customFormat="false" ht="15" hidden="false" customHeight="false" outlineLevel="0" collapsed="false">
      <c r="A18" s="8" t="s">
        <v>543</v>
      </c>
      <c r="B18" s="9" t="str">
        <f aca="false">VLOOKUP(A18,Universitas_Pembanding!$A:$B,2,FALSE())</f>
        <v>TU Delft</v>
      </c>
      <c r="C18" s="8" t="s">
        <v>224</v>
      </c>
      <c r="D18" s="8" t="n">
        <v>1.1</v>
      </c>
    </row>
    <row r="19" customFormat="false" ht="15" hidden="false" customHeight="false" outlineLevel="0" collapsed="false">
      <c r="A19" s="8" t="s">
        <v>543</v>
      </c>
      <c r="B19" s="9" t="str">
        <f aca="false">VLOOKUP(A19,Universitas_Pembanding!$A:$B,2,FALSE())</f>
        <v>TU Delft</v>
      </c>
      <c r="C19" s="8" t="s">
        <v>251</v>
      </c>
      <c r="D19" s="8" t="n">
        <v>1</v>
      </c>
    </row>
    <row r="20" customFormat="false" ht="15" hidden="false" customHeight="false" outlineLevel="0" collapsed="false">
      <c r="A20" s="8" t="s">
        <v>543</v>
      </c>
      <c r="B20" s="9" t="str">
        <f aca="false">VLOOKUP(A20,Universitas_Pembanding!$A:$B,2,FALSE())</f>
        <v>TU Delft</v>
      </c>
      <c r="C20" s="8" t="s">
        <v>264</v>
      </c>
      <c r="D20" s="8" t="n">
        <v>0.9</v>
      </c>
    </row>
    <row r="21" customFormat="false" ht="15" hidden="false" customHeight="false" outlineLevel="0" collapsed="false">
      <c r="A21" s="8" t="s">
        <v>543</v>
      </c>
      <c r="B21" s="9" t="str">
        <f aca="false">VLOOKUP(A21,Universitas_Pembanding!$A:$B,2,FALSE())</f>
        <v>TU Delft</v>
      </c>
      <c r="C21" s="8" t="s">
        <v>297</v>
      </c>
      <c r="D21" s="8" t="n">
        <v>0.7</v>
      </c>
    </row>
    <row r="22" customFormat="false" ht="15" hidden="false" customHeight="false" outlineLevel="0" collapsed="false">
      <c r="A22" s="8" t="s">
        <v>544</v>
      </c>
      <c r="B22" s="9" t="str">
        <f aca="false">VLOOKUP(A22,Universitas_Pembanding!$A:$B,2,FALSE())</f>
        <v>NTU Singapore</v>
      </c>
      <c r="C22" s="8" t="s">
        <v>236</v>
      </c>
      <c r="D22" s="8" t="n">
        <v>1.9</v>
      </c>
    </row>
    <row r="23" customFormat="false" ht="15" hidden="false" customHeight="false" outlineLevel="0" collapsed="false">
      <c r="A23" s="8" t="s">
        <v>544</v>
      </c>
      <c r="B23" s="9" t="str">
        <f aca="false">VLOOKUP(A23,Universitas_Pembanding!$A:$B,2,FALSE())</f>
        <v>NTU Singapore</v>
      </c>
      <c r="C23" s="8" t="s">
        <v>224</v>
      </c>
      <c r="D23" s="8" t="n">
        <v>1.7</v>
      </c>
    </row>
    <row r="24" customFormat="false" ht="15" hidden="false" customHeight="false" outlineLevel="0" collapsed="false">
      <c r="A24" s="8" t="s">
        <v>544</v>
      </c>
      <c r="B24" s="9" t="str">
        <f aca="false">VLOOKUP(A24,Universitas_Pembanding!$A:$B,2,FALSE())</f>
        <v>NTU Singapore</v>
      </c>
      <c r="C24" s="8" t="s">
        <v>251</v>
      </c>
      <c r="D24" s="8" t="n">
        <v>1.4</v>
      </c>
    </row>
    <row r="25" customFormat="false" ht="15" hidden="false" customHeight="false" outlineLevel="0" collapsed="false">
      <c r="A25" s="8" t="s">
        <v>544</v>
      </c>
      <c r="B25" s="9" t="str">
        <f aca="false">VLOOKUP(A25,Universitas_Pembanding!$A:$B,2,FALSE())</f>
        <v>NTU Singapore</v>
      </c>
      <c r="C25" s="8" t="s">
        <v>264</v>
      </c>
      <c r="D25" s="8" t="n">
        <v>1.1</v>
      </c>
    </row>
    <row r="26" customFormat="false" ht="15" hidden="false" customHeight="false" outlineLevel="0" collapsed="false">
      <c r="A26" s="8" t="s">
        <v>544</v>
      </c>
      <c r="B26" s="9" t="str">
        <f aca="false">VLOOKUP(A26,Universitas_Pembanding!$A:$B,2,FALSE())</f>
        <v>NTU Singapore</v>
      </c>
      <c r="C26" s="8" t="s">
        <v>297</v>
      </c>
      <c r="D26" s="8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7" t="s">
        <v>547</v>
      </c>
      <c r="B1" s="7" t="s">
        <v>219</v>
      </c>
      <c r="C1" s="7" t="s">
        <v>535</v>
      </c>
      <c r="D1" s="7" t="s">
        <v>548</v>
      </c>
      <c r="E1" s="7" t="s">
        <v>549</v>
      </c>
    </row>
    <row r="2" customFormat="false" ht="15" hidden="false" customHeight="false" outlineLevel="0" collapsed="false">
      <c r="A2" s="8" t="n">
        <v>2022</v>
      </c>
      <c r="B2" s="8"/>
      <c r="C2" s="8" t="n">
        <v>560</v>
      </c>
      <c r="D2" s="8" t="n">
        <v>0.58</v>
      </c>
      <c r="E2" s="8" t="s">
        <v>550</v>
      </c>
    </row>
    <row r="3" customFormat="false" ht="15" hidden="false" customHeight="false" outlineLevel="0" collapsed="false">
      <c r="A3" s="8" t="n">
        <v>2023</v>
      </c>
      <c r="B3" s="8"/>
      <c r="C3" s="8" t="n">
        <v>545</v>
      </c>
      <c r="D3" s="8" t="n">
        <v>0.6</v>
      </c>
      <c r="E3" s="8" t="s">
        <v>550</v>
      </c>
    </row>
    <row r="4" customFormat="false" ht="15" hidden="false" customHeight="false" outlineLevel="0" collapsed="false">
      <c r="A4" s="8" t="n">
        <v>2024</v>
      </c>
      <c r="B4" s="8"/>
      <c r="C4" s="8" t="n">
        <v>530</v>
      </c>
      <c r="D4" s="8" t="n">
        <v>0.63</v>
      </c>
      <c r="E4" s="8" t="s">
        <v>550</v>
      </c>
    </row>
    <row r="5" customFormat="false" ht="15" hidden="false" customHeight="false" outlineLevel="0" collapsed="false">
      <c r="A5" s="8" t="n">
        <v>2025</v>
      </c>
      <c r="B5" s="8"/>
      <c r="C5" s="8" t="n">
        <v>515</v>
      </c>
      <c r="D5" s="8" t="n">
        <v>0.66</v>
      </c>
      <c r="E5" s="8" t="s">
        <v>550</v>
      </c>
    </row>
    <row r="6" customFormat="false" ht="15" hidden="false" customHeight="false" outlineLevel="0" collapsed="false">
      <c r="A6" s="8" t="n">
        <v>2026</v>
      </c>
      <c r="B6" s="8"/>
      <c r="C6" s="8" t="n">
        <v>506</v>
      </c>
      <c r="D6" s="8" t="n">
        <v>0.7</v>
      </c>
      <c r="E6" s="8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7" t="s">
        <v>545</v>
      </c>
      <c r="B1" s="7" t="s">
        <v>546</v>
      </c>
      <c r="C1" s="7" t="s">
        <v>551</v>
      </c>
      <c r="D1" s="7" t="s">
        <v>152</v>
      </c>
      <c r="E1" s="7" t="s">
        <v>219</v>
      </c>
      <c r="F1" s="7" t="s">
        <v>552</v>
      </c>
    </row>
    <row r="2" customFormat="false" ht="15" hidden="false" customHeight="false" outlineLevel="0" collapsed="false">
      <c r="A2" s="8" t="s">
        <v>536</v>
      </c>
      <c r="B2" s="9" t="str">
        <f aca="false">VLOOKUP(A2,Universitas_Pembanding!$A:$B,2,FALSE())</f>
        <v>ITB</v>
      </c>
      <c r="C2" s="8" t="s">
        <v>192</v>
      </c>
      <c r="D2" s="8" t="s">
        <v>193</v>
      </c>
      <c r="E2" s="8" t="s">
        <v>236</v>
      </c>
      <c r="F2" s="11" t="str">
        <f aca="false">IF(COUNTIF(Institusi_Mitra!$B:$B,C2)&gt;0,"Overlap - ITS juga di sini","Gap - belum disentuh ITS")</f>
        <v>Overlap - ITS juga di sini</v>
      </c>
    </row>
    <row r="3" customFormat="false" ht="15" hidden="false" customHeight="false" outlineLevel="0" collapsed="false">
      <c r="A3" s="8" t="s">
        <v>536</v>
      </c>
      <c r="B3" s="9" t="str">
        <f aca="false">VLOOKUP(A3,Universitas_Pembanding!$A:$B,2,FALSE())</f>
        <v>ITB</v>
      </c>
      <c r="C3" s="8" t="s">
        <v>553</v>
      </c>
      <c r="D3" s="8" t="s">
        <v>554</v>
      </c>
      <c r="E3" s="8" t="s">
        <v>264</v>
      </c>
      <c r="F3" s="11" t="str">
        <f aca="false">IF(COUNTIF(Institusi_Mitra!$B:$B,C3)&gt;0,"Overlap - ITS juga di sini","Gap - belum disentuh ITS")</f>
        <v>Gap - belum disentuh ITS</v>
      </c>
    </row>
    <row r="4" customFormat="false" ht="15" hidden="false" customHeight="false" outlineLevel="0" collapsed="false">
      <c r="A4" s="8" t="s">
        <v>539</v>
      </c>
      <c r="B4" s="9" t="str">
        <f aca="false">VLOOKUP(A4,Universitas_Pembanding!$A:$B,2,FALSE())</f>
        <v>Universitas Indonesia</v>
      </c>
      <c r="C4" s="8" t="s">
        <v>185</v>
      </c>
      <c r="D4" s="8" t="s">
        <v>168</v>
      </c>
      <c r="E4" s="8" t="s">
        <v>251</v>
      </c>
      <c r="F4" s="11" t="str">
        <f aca="false">IF(COUNTIF(Institusi_Mitra!$B:$B,C4)&gt;0,"Overlap - ITS juga di sini","Gap - belum disentuh ITS")</f>
        <v>Overlap - ITS juga di sini</v>
      </c>
    </row>
    <row r="5" customFormat="false" ht="15" hidden="false" customHeight="false" outlineLevel="0" collapsed="false">
      <c r="A5" s="8" t="s">
        <v>539</v>
      </c>
      <c r="B5" s="9" t="str">
        <f aca="false">VLOOKUP(A5,Universitas_Pembanding!$A:$B,2,FALSE())</f>
        <v>Universitas Indonesia</v>
      </c>
      <c r="C5" s="8" t="s">
        <v>555</v>
      </c>
      <c r="D5" s="8" t="s">
        <v>556</v>
      </c>
      <c r="E5" s="8" t="s">
        <v>251</v>
      </c>
      <c r="F5" s="11" t="str">
        <f aca="false">IF(COUNTIF(Institusi_Mitra!$B:$B,C5)&gt;0,"Overlap - ITS juga di sini","Gap - belum disentuh ITS")</f>
        <v>Gap - belum disentuh ITS</v>
      </c>
    </row>
    <row r="6" customFormat="false" ht="15" hidden="false" customHeight="false" outlineLevel="0" collapsed="false">
      <c r="A6" s="8" t="s">
        <v>541</v>
      </c>
      <c r="B6" s="9" t="str">
        <f aca="false">VLOOKUP(A6,Universitas_Pembanding!$A:$B,2,FALSE())</f>
        <v>UTM</v>
      </c>
      <c r="C6" s="8" t="s">
        <v>180</v>
      </c>
      <c r="D6" s="8" t="s">
        <v>162</v>
      </c>
      <c r="E6" s="8" t="s">
        <v>224</v>
      </c>
      <c r="F6" s="11" t="str">
        <f aca="false">IF(COUNTIF(Institusi_Mitra!$B:$B,C6)&gt;0,"Overlap - ITS juga di sini","Gap - belum disentuh ITS")</f>
        <v>Overlap - ITS juga di sini</v>
      </c>
    </row>
    <row r="7" customFormat="false" ht="15" hidden="false" customHeight="false" outlineLevel="0" collapsed="false">
      <c r="A7" s="8" t="s">
        <v>541</v>
      </c>
      <c r="B7" s="9" t="str">
        <f aca="false">VLOOKUP(A7,Universitas_Pembanding!$A:$B,2,FALSE())</f>
        <v>UTM</v>
      </c>
      <c r="C7" s="8" t="s">
        <v>557</v>
      </c>
      <c r="D7" s="8" t="s">
        <v>558</v>
      </c>
      <c r="E7" s="8" t="s">
        <v>236</v>
      </c>
      <c r="F7" s="11" t="str">
        <f aca="false">IF(COUNTIF(Institusi_Mitra!$B:$B,C7)&gt;0,"Overlap - ITS juga di sini","Gap - belum disentuh ITS")</f>
        <v>Gap - belum disentuh ITS</v>
      </c>
    </row>
    <row r="8" customFormat="false" ht="15" hidden="false" customHeight="false" outlineLevel="0" collapsed="false">
      <c r="A8" s="8" t="s">
        <v>543</v>
      </c>
      <c r="B8" s="9" t="str">
        <f aca="false">VLOOKUP(A8,Universitas_Pembanding!$A:$B,2,FALSE())</f>
        <v>TU Delft</v>
      </c>
      <c r="C8" s="8" t="s">
        <v>559</v>
      </c>
      <c r="D8" s="8" t="s">
        <v>193</v>
      </c>
      <c r="E8" s="8" t="s">
        <v>236</v>
      </c>
      <c r="F8" s="11" t="str">
        <f aca="false">IF(COUNTIF(Institusi_Mitra!$B:$B,C8)&gt;0,"Overlap - ITS juga di sini","Gap - belum disentuh ITS")</f>
        <v>Gap - belum disentuh ITS</v>
      </c>
    </row>
    <row r="9" customFormat="false" ht="15" hidden="false" customHeight="false" outlineLevel="0" collapsed="false">
      <c r="A9" s="8" t="s">
        <v>543</v>
      </c>
      <c r="B9" s="9" t="str">
        <f aca="false">VLOOKUP(A9,Universitas_Pembanding!$A:$B,2,FALSE())</f>
        <v>TU Delft</v>
      </c>
      <c r="C9" s="8" t="s">
        <v>560</v>
      </c>
      <c r="D9" s="8" t="s">
        <v>561</v>
      </c>
      <c r="E9" s="8" t="s">
        <v>224</v>
      </c>
      <c r="F9" s="11" t="str">
        <f aca="false">IF(COUNTIF(Institusi_Mitra!$B:$B,C9)&gt;0,"Overlap - ITS juga di sini","Gap - belum disentuh ITS")</f>
        <v>Gap - belum disentuh ITS</v>
      </c>
    </row>
    <row r="10" customFormat="false" ht="15" hidden="false" customHeight="false" outlineLevel="0" collapsed="false">
      <c r="A10" s="8" t="s">
        <v>544</v>
      </c>
      <c r="B10" s="9" t="str">
        <f aca="false">VLOOKUP(A10,Universitas_Pembanding!$A:$B,2,FALSE())</f>
        <v>NTU Singapore</v>
      </c>
      <c r="C10" s="8" t="s">
        <v>562</v>
      </c>
      <c r="D10" s="8" t="s">
        <v>201</v>
      </c>
      <c r="E10" s="8" t="s">
        <v>264</v>
      </c>
      <c r="F10" s="11" t="str">
        <f aca="false">IF(COUNTIF(Institusi_Mitra!$B:$B,C10)&gt;0,"Overlap - ITS juga di sini","Gap - belum disentuh ITS")</f>
        <v>Gap - belum disentuh ITS</v>
      </c>
    </row>
    <row r="11" customFormat="false" ht="15" hidden="false" customHeight="false" outlineLevel="0" collapsed="false">
      <c r="A11" s="8" t="s">
        <v>544</v>
      </c>
      <c r="B11" s="9" t="str">
        <f aca="false">VLOOKUP(A11,Universitas_Pembanding!$A:$B,2,FALSE())</f>
        <v>NTU Singapore</v>
      </c>
      <c r="C11" s="8" t="s">
        <v>563</v>
      </c>
      <c r="D11" s="8" t="s">
        <v>556</v>
      </c>
      <c r="E11" s="8" t="s">
        <v>236</v>
      </c>
      <c r="F11" s="11" t="str">
        <f aca="false">IF(COUNTIF(Institusi_Mitra!$B:$B,C11)&gt;0,"Overlap - ITS juga di sini","Gap - belum disentuh ITS")</f>
        <v>Gap - belum disentuh ITS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7" min="3" style="0" width="16"/>
    <col collapsed="false" customWidth="true" hidden="false" outlineLevel="0" max="8" min="8" style="0" width="26"/>
  </cols>
  <sheetData>
    <row r="1" customFormat="false" ht="23.85" hidden="false" customHeight="false" outlineLevel="0" collapsed="false">
      <c r="A1" s="7" t="s">
        <v>32</v>
      </c>
      <c r="B1" s="7" t="s">
        <v>13</v>
      </c>
      <c r="C1" s="7" t="s">
        <v>236</v>
      </c>
      <c r="D1" s="7" t="s">
        <v>224</v>
      </c>
      <c r="E1" s="7" t="s">
        <v>251</v>
      </c>
      <c r="F1" s="7" t="s">
        <v>264</v>
      </c>
      <c r="G1" s="7" t="s">
        <v>297</v>
      </c>
      <c r="H1" s="7" t="s">
        <v>564</v>
      </c>
    </row>
    <row r="2" customFormat="false" ht="15" hidden="false" customHeight="false" outlineLevel="0" collapsed="false">
      <c r="A2" s="11" t="str">
        <f aca="false">Fakultas!A2</f>
        <v>F01</v>
      </c>
      <c r="B2" s="11" t="str">
        <f aca="false">Fakultas!B2</f>
        <v>Faculty of Marine Technology</v>
      </c>
      <c r="C2" s="11" t="n">
        <f aca="false">IFERROR(AVERAGEIFS(Publikasi_Penulis!$D:$D,Publikasi_Penulis!$C:$C,$B2,Publikasi_Penulis!$E:$E,C$1),"-")</f>
        <v>1.3225</v>
      </c>
      <c r="D2" s="11" t="n">
        <f aca="false">IFERROR(AVERAGEIFS(Publikasi_Penulis!$D:$D,Publikasi_Penulis!$C:$C,$B2,Publikasi_Penulis!$E:$E,D$1),"-")</f>
        <v>1.64666666666667</v>
      </c>
      <c r="E2" s="11" t="n">
        <f aca="false">IFERROR(AVERAGEIFS(Publikasi_Penulis!$D:$D,Publikasi_Penulis!$C:$C,$B2,Publikasi_Penulis!$E:$E,E$1),"-")</f>
        <v>1.57</v>
      </c>
      <c r="F2" s="11" t="n">
        <f aca="false">IFERROR(AVERAGEIFS(Publikasi_Penulis!$D:$D,Publikasi_Penulis!$C:$C,$B2,Publikasi_Penulis!$E:$E,F$1),"-")</f>
        <v>0.82</v>
      </c>
      <c r="G2" s="11" t="str">
        <f aca="false">IFERROR(AVERAGEIFS(Publikasi_Penulis!$D:$D,Publikasi_Penulis!$C:$C,$B2,Publikasi_Penulis!$E:$E,G$1),"-")</f>
        <v>-</v>
      </c>
      <c r="H2" s="12" t="str">
        <f aca="false">IFERROR(INDEX($C$1:$G$1,MATCH(MAX(C2:G2),C2:G2,0)),"-")</f>
        <v>Natural Sciences</v>
      </c>
    </row>
    <row r="3" customFormat="false" ht="15" hidden="false" customHeight="false" outlineLevel="0" collapsed="false">
      <c r="A3" s="11" t="str">
        <f aca="false">Fakultas!A3</f>
        <v>F02</v>
      </c>
      <c r="B3" s="11" t="str">
        <f aca="false">Fakultas!B3</f>
        <v>Faculty of Intelligent Electrical and Informatics Technology</v>
      </c>
      <c r="C3" s="11" t="n">
        <f aca="false">IFERROR(AVERAGEIFS(Publikasi_Penulis!$D:$D,Publikasi_Penulis!$C:$C,$B3,Publikasi_Penulis!$E:$E,C$1),"-")</f>
        <v>1.035</v>
      </c>
      <c r="D3" s="11" t="n">
        <f aca="false">IFERROR(AVERAGEIFS(Publikasi_Penulis!$D:$D,Publikasi_Penulis!$C:$C,$B3,Publikasi_Penulis!$E:$E,D$1),"-")</f>
        <v>1.3725</v>
      </c>
      <c r="E3" s="11" t="n">
        <f aca="false">IFERROR(AVERAGEIFS(Publikasi_Penulis!$D:$D,Publikasi_Penulis!$C:$C,$B3,Publikasi_Penulis!$E:$E,E$1),"-")</f>
        <v>1.1</v>
      </c>
      <c r="F3" s="11" t="n">
        <f aca="false">IFERROR(AVERAGEIFS(Publikasi_Penulis!$D:$D,Publikasi_Penulis!$C:$C,$B3,Publikasi_Penulis!$E:$E,F$1),"-")</f>
        <v>0.65</v>
      </c>
      <c r="G3" s="11" t="n">
        <f aca="false">IFERROR(AVERAGEIFS(Publikasi_Penulis!$D:$D,Publikasi_Penulis!$C:$C,$B3,Publikasi_Penulis!$E:$E,G$1),"-")</f>
        <v>1.26333333333333</v>
      </c>
      <c r="H3" s="12" t="str">
        <f aca="false">IFERROR(INDEX($C$1:$G$1,MATCH(MAX(C3:G3),C3:G3,0)),"-")</f>
        <v>Natural Sciences</v>
      </c>
    </row>
    <row r="4" customFormat="false" ht="15" hidden="false" customHeight="false" outlineLevel="0" collapsed="false">
      <c r="A4" s="11" t="str">
        <f aca="false">Fakultas!A4</f>
        <v>F03</v>
      </c>
      <c r="B4" s="11" t="str">
        <f aca="false">Fakultas!B4</f>
        <v>Faculty of Civil, Planning, and Geo-Engineering</v>
      </c>
      <c r="C4" s="11" t="n">
        <f aca="false">IFERROR(AVERAGEIFS(Publikasi_Penulis!$D:$D,Publikasi_Penulis!$C:$C,$B4,Publikasi_Penulis!$E:$E,C$1),"-")</f>
        <v>1.45428571428571</v>
      </c>
      <c r="D4" s="11" t="n">
        <f aca="false">IFERROR(AVERAGEIFS(Publikasi_Penulis!$D:$D,Publikasi_Penulis!$C:$C,$B4,Publikasi_Penulis!$E:$E,D$1),"-")</f>
        <v>1.2125</v>
      </c>
      <c r="E4" s="11" t="str">
        <f aca="false">IFERROR(AVERAGEIFS(Publikasi_Penulis!$D:$D,Publikasi_Penulis!$C:$C,$B4,Publikasi_Penulis!$E:$E,E$1),"-")</f>
        <v>-</v>
      </c>
      <c r="F4" s="11" t="n">
        <f aca="false">IFERROR(AVERAGEIFS(Publikasi_Penulis!$D:$D,Publikasi_Penulis!$C:$C,$B4,Publikasi_Penulis!$E:$E,F$1),"-")</f>
        <v>0.89</v>
      </c>
      <c r="G4" s="11" t="str">
        <f aca="false">IFERROR(AVERAGEIFS(Publikasi_Penulis!$D:$D,Publikasi_Penulis!$C:$C,$B4,Publikasi_Penulis!$E:$E,G$1),"-")</f>
        <v>-</v>
      </c>
      <c r="H4" s="12" t="str">
        <f aca="false">IFERROR(INDEX($C$1:$G$1,MATCH(MAX(C4:G4),C4:G4,0)),"-")</f>
        <v>Engineering and Technology</v>
      </c>
    </row>
    <row r="5" customFormat="false" ht="15" hidden="false" customHeight="false" outlineLevel="0" collapsed="false">
      <c r="A5" s="11" t="str">
        <f aca="false">Fakultas!A5</f>
        <v>F04</v>
      </c>
      <c r="B5" s="11" t="str">
        <f aca="false">Fakultas!B5</f>
        <v>Faculty of Industrial Technology and System Engineering</v>
      </c>
      <c r="C5" s="11" t="n">
        <f aca="false">IFERROR(AVERAGEIFS(Publikasi_Penulis!$D:$D,Publikasi_Penulis!$C:$C,$B5,Publikasi_Penulis!$E:$E,C$1),"-")</f>
        <v>1.14285714285714</v>
      </c>
      <c r="D5" s="11" t="str">
        <f aca="false">IFERROR(AVERAGEIFS(Publikasi_Penulis!$D:$D,Publikasi_Penulis!$C:$C,$B5,Publikasi_Penulis!$E:$E,D$1),"-")</f>
        <v>-</v>
      </c>
      <c r="E5" s="11" t="str">
        <f aca="false">IFERROR(AVERAGEIFS(Publikasi_Penulis!$D:$D,Publikasi_Penulis!$C:$C,$B5,Publikasi_Penulis!$E:$E,E$1),"-")</f>
        <v>-</v>
      </c>
      <c r="F5" s="11" t="n">
        <f aca="false">IFERROR(AVERAGEIFS(Publikasi_Penulis!$D:$D,Publikasi_Penulis!$C:$C,$B5,Publikasi_Penulis!$E:$E,F$1),"-")</f>
        <v>0.82</v>
      </c>
      <c r="G5" s="11" t="str">
        <f aca="false">IFERROR(AVERAGEIFS(Publikasi_Penulis!$D:$D,Publikasi_Penulis!$C:$C,$B5,Publikasi_Penulis!$E:$E,G$1),"-")</f>
        <v>-</v>
      </c>
      <c r="H5" s="12" t="str">
        <f aca="false">IFERROR(INDEX($C$1:$G$1,MATCH(MAX(C5:G5),C5:G5,0)),"-")</f>
        <v>Engineering and Technology</v>
      </c>
    </row>
    <row r="6" customFormat="false" ht="15" hidden="false" customHeight="false" outlineLevel="0" collapsed="false">
      <c r="A6" s="11" t="str">
        <f aca="false">Fakultas!A6</f>
        <v>F05</v>
      </c>
      <c r="B6" s="11" t="str">
        <f aca="false">Fakultas!B6</f>
        <v>Faculty of Creative Design and Digital Business</v>
      </c>
      <c r="C6" s="11" t="str">
        <f aca="false">IFERROR(AVERAGEIFS(Publikasi_Penulis!$D:$D,Publikasi_Penulis!$C:$C,$B6,Publikasi_Penulis!$E:$E,C$1),"-")</f>
        <v>-</v>
      </c>
      <c r="D6" s="11" t="n">
        <f aca="false">IFERROR(AVERAGEIFS(Publikasi_Penulis!$D:$D,Publikasi_Penulis!$C:$C,$B6,Publikasi_Penulis!$E:$E,D$1),"-")</f>
        <v>0.86</v>
      </c>
      <c r="E6" s="11" t="str">
        <f aca="false">IFERROR(AVERAGEIFS(Publikasi_Penulis!$D:$D,Publikasi_Penulis!$C:$C,$B6,Publikasi_Penulis!$E:$E,E$1),"-")</f>
        <v>-</v>
      </c>
      <c r="F6" s="11" t="str">
        <f aca="false">IFERROR(AVERAGEIFS(Publikasi_Penulis!$D:$D,Publikasi_Penulis!$C:$C,$B6,Publikasi_Penulis!$E:$E,F$1),"-")</f>
        <v>-</v>
      </c>
      <c r="G6" s="11" t="n">
        <f aca="false">IFERROR(AVERAGEIFS(Publikasi_Penulis!$D:$D,Publikasi_Penulis!$C:$C,$B6,Publikasi_Penulis!$E:$E,G$1),"-")</f>
        <v>1.34833333333333</v>
      </c>
      <c r="H6" s="12" t="str">
        <f aca="false">IFERROR(INDEX($C$1:$G$1,MATCH(MAX(C6:G6),C6:G6,0)),"-")</f>
        <v>Arts and Humanities</v>
      </c>
    </row>
    <row r="7" customFormat="false" ht="15" hidden="false" customHeight="false" outlineLevel="0" collapsed="false">
      <c r="A7" s="11" t="str">
        <f aca="false">Fakultas!A7</f>
        <v>F06</v>
      </c>
      <c r="B7" s="11" t="str">
        <f aca="false">Fakultas!B7</f>
        <v>Faculty of Medicine and Health</v>
      </c>
      <c r="C7" s="11" t="str">
        <f aca="false">IFERROR(AVERAGEIFS(Publikasi_Penulis!$D:$D,Publikasi_Penulis!$C:$C,$B7,Publikasi_Penulis!$E:$E,C$1),"-")</f>
        <v>-</v>
      </c>
      <c r="D7" s="11" t="n">
        <f aca="false">IFERROR(AVERAGEIFS(Publikasi_Penulis!$D:$D,Publikasi_Penulis!$C:$C,$B7,Publikasi_Penulis!$E:$E,D$1),"-")</f>
        <v>0.75</v>
      </c>
      <c r="E7" s="11" t="n">
        <f aca="false">IFERROR(AVERAGEIFS(Publikasi_Penulis!$D:$D,Publikasi_Penulis!$C:$C,$B7,Publikasi_Penulis!$E:$E,E$1),"-")</f>
        <v>0.94125</v>
      </c>
      <c r="F7" s="11" t="str">
        <f aca="false">IFERROR(AVERAGEIFS(Publikasi_Penulis!$D:$D,Publikasi_Penulis!$C:$C,$B7,Publikasi_Penulis!$E:$E,F$1),"-")</f>
        <v>-</v>
      </c>
      <c r="G7" s="11" t="str">
        <f aca="false">IFERROR(AVERAGEIFS(Publikasi_Penulis!$D:$D,Publikasi_Penulis!$C:$C,$B7,Publikasi_Penulis!$E:$E,G$1),"-")</f>
        <v>-</v>
      </c>
      <c r="H7" s="12" t="str">
        <f aca="false">IFERROR(INDEX($C$1:$G$1,MATCH(MAX(C7:G7),C7:G7,0)),"-")</f>
        <v>Life Sciences and Medicine</v>
      </c>
    </row>
    <row r="8" customFormat="false" ht="15" hidden="false" customHeight="false" outlineLevel="0" collapsed="false">
      <c r="A8" s="11" t="str">
        <f aca="false">Fakultas!A8</f>
        <v>F07</v>
      </c>
      <c r="B8" s="11" t="str">
        <f aca="false">Fakultas!B8</f>
        <v>Faculty of Science and Data Analytics</v>
      </c>
      <c r="C8" s="11" t="n">
        <f aca="false">IFERROR(AVERAGEIFS(Publikasi_Penulis!$D:$D,Publikasi_Penulis!$C:$C,$B8,Publikasi_Penulis!$E:$E,C$1),"-")</f>
        <v>1.06</v>
      </c>
      <c r="D8" s="11" t="n">
        <f aca="false">IFERROR(AVERAGEIFS(Publikasi_Penulis!$D:$D,Publikasi_Penulis!$C:$C,$B8,Publikasi_Penulis!$E:$E,D$1),"-")</f>
        <v>1.22</v>
      </c>
      <c r="E8" s="11" t="n">
        <f aca="false">IFERROR(AVERAGEIFS(Publikasi_Penulis!$D:$D,Publikasi_Penulis!$C:$C,$B8,Publikasi_Penulis!$E:$E,E$1),"-")</f>
        <v>1.41</v>
      </c>
      <c r="F8" s="11" t="str">
        <f aca="false">IFERROR(AVERAGEIFS(Publikasi_Penulis!$D:$D,Publikasi_Penulis!$C:$C,$B8,Publikasi_Penulis!$E:$E,F$1),"-")</f>
        <v>-</v>
      </c>
      <c r="G8" s="11" t="str">
        <f aca="false">IFERROR(AVERAGEIFS(Publikasi_Penulis!$D:$D,Publikasi_Penulis!$C:$C,$B8,Publikasi_Penulis!$E:$E,G$1),"-")</f>
        <v>-</v>
      </c>
      <c r="H8" s="12" t="str">
        <f aca="false">IFERROR(INDEX($C$1:$G$1,MATCH(MAX(C8:G8),C8:G8,0)),"-")</f>
        <v>Life Sciences and Medicine</v>
      </c>
    </row>
    <row r="9" customFormat="false" ht="15" hidden="false" customHeight="false" outlineLevel="0" collapsed="false">
      <c r="A9" s="11" t="str">
        <f aca="false">Fakultas!A9</f>
        <v>F08</v>
      </c>
      <c r="B9" s="11" t="str">
        <f aca="false">Fakultas!B9</f>
        <v>Faculty of Vocation</v>
      </c>
      <c r="C9" s="11" t="n">
        <f aca="false">IFERROR(AVERAGEIFS(Publikasi_Penulis!$D:$D,Publikasi_Penulis!$C:$C,$B9,Publikasi_Penulis!$E:$E,C$1),"-")</f>
        <v>1.02875</v>
      </c>
      <c r="D9" s="11" t="n">
        <f aca="false">IFERROR(AVERAGEIFS(Publikasi_Penulis!$D:$D,Publikasi_Penulis!$C:$C,$B9,Publikasi_Penulis!$E:$E,D$1),"-")</f>
        <v>1.47</v>
      </c>
      <c r="E9" s="11" t="n">
        <f aca="false">IFERROR(AVERAGEIFS(Publikasi_Penulis!$D:$D,Publikasi_Penulis!$C:$C,$B9,Publikasi_Penulis!$E:$E,E$1),"-")</f>
        <v>1.23</v>
      </c>
      <c r="F9" s="11" t="n">
        <f aca="false">IFERROR(AVERAGEIFS(Publikasi_Penulis!$D:$D,Publikasi_Penulis!$C:$C,$B9,Publikasi_Penulis!$E:$E,F$1),"-")</f>
        <v>1.81</v>
      </c>
      <c r="G9" s="11" t="str">
        <f aca="false">IFERROR(AVERAGEIFS(Publikasi_Penulis!$D:$D,Publikasi_Penulis!$C:$C,$B9,Publikasi_Penulis!$E:$E,G$1),"-")</f>
        <v>-</v>
      </c>
      <c r="H9" s="12" t="str">
        <f aca="false">IFERROR(INDEX($C$1:$G$1,MATCH(MAX(C9:G9),C9:G9,0)),"-")</f>
        <v>Social Sciences and Management</v>
      </c>
    </row>
    <row r="10" customFormat="false" ht="15" hidden="false" customHeight="false" outlineLevel="0" collapsed="false">
      <c r="A10" s="11" t="str">
        <f aca="false">Fakultas!A10</f>
        <v>F09</v>
      </c>
      <c r="B10" s="11" t="str">
        <f aca="false">Fakultas!B10</f>
        <v>School of Interdisciplinary Management and Technology</v>
      </c>
      <c r="C10" s="11" t="n">
        <f aca="false">IFERROR(AVERAGEIFS(Publikasi_Penulis!$D:$D,Publikasi_Penulis!$C:$C,$B10,Publikasi_Penulis!$E:$E,C$1),"-")</f>
        <v>0.88</v>
      </c>
      <c r="D10" s="11" t="n">
        <f aca="false">IFERROR(AVERAGEIFS(Publikasi_Penulis!$D:$D,Publikasi_Penulis!$C:$C,$B10,Publikasi_Penulis!$E:$E,D$1),"-")</f>
        <v>1.48333333333333</v>
      </c>
      <c r="E10" s="11" t="n">
        <f aca="false">IFERROR(AVERAGEIFS(Publikasi_Penulis!$D:$D,Publikasi_Penulis!$C:$C,$B10,Publikasi_Penulis!$E:$E,E$1),"-")</f>
        <v>1.31</v>
      </c>
      <c r="F10" s="11" t="n">
        <f aca="false">IFERROR(AVERAGEIFS(Publikasi_Penulis!$D:$D,Publikasi_Penulis!$C:$C,$B10,Publikasi_Penulis!$E:$E,F$1),"-")</f>
        <v>1.27888888888889</v>
      </c>
      <c r="G10" s="11" t="str">
        <f aca="false">IFERROR(AVERAGEIFS(Publikasi_Penulis!$D:$D,Publikasi_Penulis!$C:$C,$B10,Publikasi_Penulis!$E:$E,G$1),"-")</f>
        <v>-</v>
      </c>
      <c r="H10" s="12" t="str">
        <f aca="false">IFERROR(INDEX($C$1:$G$1,MATCH(MAX(C10:G10),C10:G10,0)),"-")</f>
        <v>Natural Sciences</v>
      </c>
    </row>
    <row r="12" customFormat="false" ht="39.75" hidden="false" customHeight="true" outlineLevel="0" collapsed="false">
      <c r="A12" s="13" t="s">
        <v>565</v>
      </c>
      <c r="B12" s="13"/>
      <c r="C12" s="13"/>
      <c r="D12" s="13"/>
      <c r="E12" s="13"/>
      <c r="F12" s="13"/>
      <c r="G12" s="13"/>
      <c r="H12" s="13"/>
    </row>
  </sheetData>
  <mergeCells count="1"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2026-07-26T12:06:01Z</dcterms:created>
  <dc:creator>openpyxl</dc:creator>
  <dc:description/>
  <dc:language>en-US</dc:language>
  <cp:lastModifiedBy/>
  <dcterms:modified xsi:type="dcterms:W3CDTF">2026-07-26T12:06:01Z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